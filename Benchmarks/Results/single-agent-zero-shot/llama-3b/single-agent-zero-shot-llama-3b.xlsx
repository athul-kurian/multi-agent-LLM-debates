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zero-shot/llama-3b/"/>
    </mc:Choice>
  </mc:AlternateContent>
  <xr:revisionPtr revIDLastSave="0" documentId="13_ncr:1_{36F9D8F1-B38A-2649-910A-E6CC1B0D96A3}"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 i="1" l="1"/>
  <c r="G87" i="1"/>
  <c r="G43" i="1"/>
  <c r="G471"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4" i="1"/>
  <c r="G5" i="1"/>
  <c r="G6" i="1"/>
  <c r="G7" i="1"/>
  <c r="G8" i="1"/>
  <c r="G9" i="1"/>
  <c r="G10" i="1"/>
  <c r="G11" i="1"/>
  <c r="G12" i="1"/>
  <c r="G13" i="1"/>
  <c r="G14" i="1"/>
  <c r="G3" i="1"/>
  <c r="G504" i="1" s="1"/>
  <c r="G505" i="1" l="1"/>
</calcChain>
</file>

<file path=xl/sharedStrings.xml><?xml version="1.0" encoding="utf-8"?>
<sst xmlns="http://schemas.openxmlformats.org/spreadsheetml/2006/main" count="1514" uniqueCount="1384">
  <si>
    <t>single-agent-zero-shot-llama-3b</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</si>
  <si>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</si>
  <si>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</si>
  <si>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</si>
  <si>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</si>
  <si>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</si>
  <si>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</si>
  <si>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</si>
  <si>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</si>
  <si>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</si>
  <si>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</si>
  <si>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</si>
  <si>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</si>
  <si>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 10</t>
  </si>
  <si>
    <t>Diane bought twenty more apples than Cecile. If Cecile bought 15 apples, how many apples did they buy altogether?</t>
  </si>
  <si>
    <t>Diane bought 15 + 20 = &lt;&lt;15+20=35&gt;&gt;35 apples.
Therefore, they bought 15 + 35 = &lt;&lt;15+35=50&gt;&gt;50 apples altogether.
#### 50</t>
  </si>
  <si>
    <t>## Step 1: Determine the number of apples Cecile bought.
Cecile bought 15 apples.
## Step 2: Calculate the number of apples Diane bought.
Diane bought 20 more apples than Cecile, so Diane bought 15 +</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</si>
  <si>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</si>
  <si>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</si>
  <si>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 12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</si>
  <si>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</si>
  <si>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</si>
  <si>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 150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</si>
  <si>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</si>
  <si>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</si>
  <si>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 Step 1: Define the relationship between the number of people in Richmond and Victoria.
Let's denote the number of people in Beacon as B. Since Victoria has 4 times as many people as Beacon, the number of people in Victoria is</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</si>
  <si>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</si>
  <si>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</si>
  <si>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 Step 1: Determine the number of oysters Squido eats.
Squido eats</t>
  </si>
  <si>
    <t>John sells 20 woodburning for $15 each.  The wood cost $100.  How much does he make in profit?</t>
  </si>
  <si>
    <t>He sells the woodburning for 20*15=$&lt;&lt;20*15=300&gt;&gt;300
So he makes a profit of 300-100=$&lt;&lt;300-100=200&gt;&gt;200
#### 200</t>
  </si>
  <si>
    <t>## Total Revenue
Total Revenue = Number of Woodburnings * Price per Woodburning
Total Revenue = 20 * $15
Total Revenue = $300
## Total Cost
Total Cost = Cost of Wood
Total Cost = $</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</si>
  <si>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</si>
  <si>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</si>
  <si>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 50</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</si>
  <si>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</si>
  <si>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</si>
  <si>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 450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</si>
  <si>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</si>
  <si>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</si>
  <si>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</si>
  <si>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</si>
  <si>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</si>
  <si>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 35</t>
  </si>
  <si>
    <t>In a field where there are 200 animals, there are 40 cows, 56 sheep and goats. How many goats are there?</t>
  </si>
  <si>
    <t>We have 56 + 40 = &lt;&lt;56+40=96&gt;&gt;96 animals other than goats.
So, we have 200 – 96 = &lt;&lt;200-96=104&gt;&gt;104 goats
#### 104</t>
  </si>
  <si>
    <t>####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</si>
  <si>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</si>
  <si>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</si>
  <si>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</si>
  <si>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</si>
  <si>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</si>
  <si>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</si>
  <si>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</si>
  <si>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 560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</si>
  <si>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</si>
  <si>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</si>
  <si>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 3*5 + 2*10 + 4*4 = 15 + 20 + 16 =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</si>
  <si>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</si>
  <si>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</si>
  <si>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 500 kgs</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</si>
  <si>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</si>
  <si>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</si>
  <si>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 Step 1: Calculate the population of New York
Since New York is two-thirds as populated as New England, we can calculate its population by multiplying the population of New England by</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</si>
  <si>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</si>
  <si>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</si>
  <si>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Let's break down the information:
- Miriam currently has</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</si>
  <si>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</si>
  <si>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</si>
  <si>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 xml:space="preserve">To find the total number of pieces of meat, we need to calculate the number of each type of meat.
Pepperoni: </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</si>
  <si>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</si>
  <si>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</si>
  <si>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 28</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</si>
  <si>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</si>
  <si>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</si>
  <si>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 4</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</si>
  <si>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</si>
  <si>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</si>
  <si>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 Step 1: Calculate the total number of flowers available
The florist has 75 narcissus flowers and</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</si>
  <si>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</si>
  <si>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</si>
  <si>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 6</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</si>
  <si>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</si>
  <si>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</si>
  <si>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 44</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</si>
  <si>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</si>
  <si>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</si>
  <si>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 500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</si>
  <si>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</si>
  <si>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</si>
  <si>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 181</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</si>
  <si>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</si>
  <si>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</si>
  <si>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</si>
  <si>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</si>
  <si>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 Step 1: Calculate the initial number of fish
Tony starts with 2 fish.
## Step 2: Determine the annual change in the number of fish
Every year, Tony's parents buy him 2 more fish, but 1 dies. So, the net gain is 2 - 1 = 1 fish per year.
## Step 3: Calculate the total number of fish after 5 years
Since Tony starts with 2 fish and gains 1 fish per year, after 5 years, he will have</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</si>
  <si>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</si>
  <si>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</si>
  <si>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To find out how many candy bars Nick needs to sell, we first need to calculate how much money he has raised from selling the chocolate oranges.
20 chocolate oranges * $10 = $200
Since Nick wants to raise $1000, we subtract the amount he has already raised from his goal:
$1000 - $20 = $800
Now, we divide the remaining amount by the price of a candy bar:
$</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</si>
  <si>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</si>
  <si>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</si>
  <si>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 46</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</si>
  <si>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</si>
  <si>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</si>
  <si>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 9</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</si>
  <si>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</si>
  <si>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</si>
  <si>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 xml:space="preserve">To find the total amount earned from the red and blue stamps, we need to calculate the earnings from each color separately.
Red stamps: </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</si>
  <si>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</si>
  <si>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</si>
  <si>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 48</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</si>
  <si>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</si>
  <si>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</si>
  <si>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 180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</si>
  <si>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</si>
  <si>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</si>
  <si>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 56</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</si>
  <si>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</si>
  <si>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</si>
  <si>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</si>
  <si>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</si>
  <si>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 Calculating the years Devin taught each course:
- Calculus: 4 years
- Algebra: 2 * 4 = 8 years
- Statistics: 5 *</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</si>
  <si>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</si>
  <si>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</si>
  <si>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 100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</si>
  <si>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</si>
  <si>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</si>
  <si>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say Sarah has x cents. Since Bridget has 50 cents more than Sarah, Bridget has x + 50 cents.
Together, they have $3, which is</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</si>
  <si>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</si>
  <si>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</si>
  <si>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 80</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</si>
  <si>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</si>
  <si>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</si>
  <si>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 200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</si>
  <si>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</si>
  <si>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</si>
  <si>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 17</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</si>
  <si>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</si>
  <si>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</si>
  <si>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To find the total amount collected, we need to find the amount collected by Scott and Mary.
Since Ken has $600 and Mary's collection is five times what Ken has, Mary has 5 * $600 = $3,000.
Since Mary's collection is three times Scott's funds, Scott has $</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</si>
  <si>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</si>
  <si>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</si>
  <si>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 4000 * (3/4) / 10 =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</si>
  <si>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</si>
  <si>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</si>
  <si>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 Step 1: Calculate the time spent grooming each day
Jennifer has 2 dogs, and it takes her 20 minutes to groom each dog. So, the total time spent grooming each day is 2 * 20 =</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</si>
  <si>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</si>
  <si>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</si>
  <si>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 5</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</si>
  <si>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</si>
  <si>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</si>
  <si>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Season 1: 200 apples
Season 2: 20% fewer fruits, so</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</si>
  <si>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</si>
  <si>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</si>
  <si>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</si>
  <si>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</si>
  <si>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</si>
  <si>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Let's break down the problem step by step:
1. Oomyapeck eats 22 eyes, and he gives 2 eyes to his dog. So, he eats 22 -</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</si>
  <si>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</si>
  <si>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</si>
  <si>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 Step 1: Calculate the total number of candy bars Kim received in 16 weeks
Kim's dad buys her 2 candy bars a week. In 16 weeks, she would receive 2 * 16 =</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</si>
  <si>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</si>
  <si>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</si>
  <si>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To find the number of balls that could be inflated successfully, we need to first find the number of balls that were not damaged.
40% of 100 balls had holes, so the number of balls with holes is:
0.4 * 100 =</t>
  </si>
  <si>
    <t>It takes 20 minutes for John to go to the bathroom 8 times.  How long would it take to go 6 times?</t>
  </si>
  <si>
    <t>He spends 20/8=&lt;&lt;20/8=2.5&gt;&gt;2.5 minutes each time he goes in
So it would take 2.5*6=&lt;&lt;2.5*6=15&gt;&gt;15 minutes to go 6 times
#### 15</t>
  </si>
  <si>
    <t>## Step 1: Calculate the time it takes for one bathroom visit
To find the time it takes for one bathroom visit, we need to divide the total time (20 minutes) by the number of visits (8). time_per_visit = 20 / 8 = 2.5 minutes.
## Step 2: Calculate the time it would take to go 6 times
Now, we need to multiply the time it takes for one visit by the number of visits (6). total_time = time_per_visit *</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</si>
  <si>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</si>
  <si>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</si>
  <si>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</si>
  <si>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</si>
  <si>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 $24</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</si>
  <si>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</si>
  <si>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</si>
  <si>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 7</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</si>
  <si>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</si>
  <si>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</si>
  <si>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Let's denote the price per pint of strawberries when not on sale as x.
The supermarket sold 54 pints and made $216. This means that 54x =</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</si>
  <si>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</si>
  <si>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</si>
  <si>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 82</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</si>
  <si>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</si>
  <si>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</si>
  <si>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 8</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</si>
  <si>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</si>
  <si>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</si>
  <si>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 32</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</si>
  <si>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</si>
  <si>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</si>
  <si>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</si>
  <si>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</si>
  <si>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At a pool party, there are 4 pizzas cut into 12 slices each.  If the guests eat 39 slices, how many slices are left?</t>
  </si>
  <si>
    <t>There’s a total of 4 x 12 = &lt;&lt;4*12=48&gt;&gt;48 slices.
After the guests eat, there are 48 - 39 = &lt;&lt;48-39=9&gt;&gt;9 pieces.
#### 9</t>
  </si>
  <si>
    <t>#### 3</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</si>
  <si>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</si>
  <si>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</si>
  <si>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 16</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</si>
  <si>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</si>
  <si>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</si>
  <si>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 1200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</si>
  <si>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</si>
  <si>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</si>
  <si>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 540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</si>
  <si>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</si>
  <si>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</si>
  <si>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 1.75</t>
  </si>
  <si>
    <t>James buys 5 packs of beef that are 4 pounds each.  The price of beef is $5.50 per pound.  How much did he pay?</t>
  </si>
  <si>
    <t>He bought 5*4=&lt;&lt;5*4=20&gt;&gt;20 pounds of beef
So he paid 20*5.5=$&lt;&lt;20*5.5=110&gt;&gt;110
#### 110</t>
  </si>
  <si>
    <t xml:space="preserve">#### </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</si>
  <si>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</si>
  <si>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</si>
  <si>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To find the total cost of the meal, first calculate the cost of the meal for one person:
$</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</si>
  <si>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</si>
  <si>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</si>
  <si>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To find the total number of employees in the two buses, we need to calculate the number of employees in each bus and then add them together.
Bus 1: 60% of</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</si>
  <si>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</si>
  <si>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</si>
  <si>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 1080</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</si>
  <si>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</si>
  <si>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</si>
  <si>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</si>
  <si>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</si>
  <si>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 6 * 8 + 4 * 18 + 5 * 80 * 0.9 = 48 + 72 + 360 = 480
480 * 1.05 =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</si>
  <si>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</si>
  <si>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</si>
  <si>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</si>
  <si>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</si>
  <si>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 108</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</si>
  <si>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</si>
  <si>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</si>
  <si>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 Squat Count Calculation
Let's break down the squat count for each day:
- Day 1: 3 squats
- Day 2: 30 +</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</si>
  <si>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</si>
  <si>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</si>
  <si>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To find the percentage chance of picking a pepperjack cheese stick, we need to divide the number of pepperjack sticks by the total number of sticks and multiply by 100.
Total number of sticks =</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</si>
  <si>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</si>
  <si>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</si>
  <si>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To find the total capacity of 40 containers, first, find the capacity of one container. 
If</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</si>
  <si>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</si>
  <si>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</si>
  <si>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 Step 1: Calculate the total number of stars needed
To find out how many more stars Luke needs to make, we first need to calculate the total number of stars required to fill 4 bottles. Since 85 paper stars are required to fill one glass jar, we multiply this number by 4.
## Step 2: Calculate the total number of stars needed for 4 bottles
Total stars needed =</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</si>
  <si>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</si>
  <si>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</si>
  <si>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 38</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</si>
  <si>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</si>
  <si>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</si>
  <si>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denote Leah's age as L and Rachel's age as R. 
Since Rachel is 4 years older than Leah, we can write an equation: R = L + 4.
The sum of their ages is 34, so we can write another equation: L + R = 34.
Substituting the first equation into the second, we get: L + (L + 4) = 34.
Combine like terms: 2L + 4 =</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</si>
  <si>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</si>
  <si>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</si>
  <si>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 $7500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</si>
  <si>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</si>
  <si>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</si>
  <si>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</si>
  <si>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</si>
  <si>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</si>
  <si>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</si>
  <si>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 4724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</si>
  <si>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</si>
  <si>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</si>
  <si>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 60</t>
  </si>
  <si>
    <t>A band's members each earn $20 per gig. If there are 4 members and they've earned $400, how many gigs have they played?</t>
  </si>
  <si>
    <t>The band earns $80 per gig because 4 x 20 = &lt;&lt;4*20=80&gt;&gt;80
They played 5 gigs because 400 / 80 = &lt;&lt;400/80=5&gt;&gt;5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</si>
  <si>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</si>
  <si>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</si>
  <si>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find the total cost, we need to calculate the number of trees needed and then multiply that by the cost per tree.
First, we need to convert the length of the fence from yards to feet:
25 yards *</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</si>
  <si>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</si>
  <si>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</si>
  <si>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 6.25</t>
  </si>
  <si>
    <t>James buys 100 tennis balls and gives half of them away.  The other half he puts into 5 large containers.  How many tennis balls go in each container?</t>
  </si>
  <si>
    <t>He keeps 100/2=&lt;&lt;100/2=50&gt;&gt;50 tennis balls
So 50/5=&lt;&lt;50/5=10&gt;&gt;10 go in each container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</si>
  <si>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</si>
  <si>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</si>
  <si>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To find the volume of the cooked spinach, calculate 20% of</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</si>
  <si>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</si>
  <si>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</si>
  <si>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To find the cost of one chair, we need to subtract the cost of the table from the total amount spent.
Total amount spent = $56
Cost of table = $34
Cost of 2 chairs = Total amount spent - Cost of table
Cost of</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</si>
  <si>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</si>
  <si>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</si>
  <si>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</si>
  <si>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</si>
  <si>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 xml:space="preserve">To find out how many planks Colbert needs to buy, we need to calculate the total number of planks he already has.
A quarter of </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</si>
  <si>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</si>
  <si>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</si>
  <si>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 240</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</si>
  <si>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</si>
  <si>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</si>
  <si>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 Step 1: Determine the amount of money Jethro has.
Since Patricia has $60, which is 3 times as much as Jethro, we can calculate Jethro's amount by dividing Patricia's amount by 3. Jethro's money = 60 / 3 = 20.
## Step 2: Calculate the amount of money Carmen has.
Carmen needs $7 more to have twice the amount of money that Jethro has. Since Jethro has $20, twice that amount would be 2 * 20 = 40. Therefore, Carmen has 40 - 7 = 33.
## Step 3: Calculate the sum of all their money.
To find the total amount of money, we need to add the amounts of money that Carmen, Jethro, and Patricia have. Total money = Carmen's money + Jethro's money + Patricia's money = 33 + 20 + 60 = 113.
The final answer is: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</si>
  <si>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</si>
  <si>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</si>
  <si>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</si>
  <si>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</si>
  <si>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 24</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</si>
  <si>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</si>
  <si>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</si>
  <si>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</si>
  <si>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</si>
  <si>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 Step 1: Calculate the number of cakes Gary can make
To find out how many cakes Gary can make, we need to divide the amount of flour he has for cakes (4 pounds) by the amount of flour each cake requires (0.5 pounds). cakes =</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</si>
  <si>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</si>
  <si>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</si>
  <si>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</si>
  <si>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</si>
  <si>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 25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</si>
  <si>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</si>
  <si>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</si>
  <si>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 45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</si>
  <si>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</si>
  <si>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</si>
  <si>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 26</t>
  </si>
  <si>
    <t>If you double a number and add 5 to the result, then that's 20 more than half of the original number. What's the original number?</t>
  </si>
  <si>
    <t>Let x be the original number.
2*x+5=20+x/2
2*x-x/2=15
4*x-x=30
3*x=30
x=&lt;&lt;10=10&gt;&gt;10
#### 4</t>
  </si>
  <si>
    <t>#### 15</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</si>
  <si>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</si>
  <si>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</si>
  <si>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 96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</si>
  <si>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</si>
  <si>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</si>
  <si>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 Step 1: Calculate Nathalie's score
Nathalie's score is 3 more than Lizzie's score, which is 4. So, Nathalie's score is 4 + 3 = 7.
## Step 2: Calculate Aimee's score
Aimee's score is twice the score of Lizzie and Nathalie combined. Lizzie and Nathalie's combined score is</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</si>
  <si>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</si>
  <si>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</si>
  <si>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</si>
  <si>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</si>
  <si>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 Step 1: Calculate the taxes
First, we need to calculate the taxes on the $40 worth of stuff. The taxes are 5% of $</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</si>
  <si>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</si>
  <si>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</si>
  <si>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 Calculating the Total Cost of Crayons
To find the total cost of the crayons, we need to calculate the cost of the initial 4 packs and the additional 2 packs.
### Initial Cost
The initial 4 packs of crayons cost 4 * $2.5 = $10.
### Additional Cost
The additional 2 packs of crayons cost</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</si>
  <si>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</si>
  <si>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</si>
  <si>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 23.7</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</si>
  <si>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</si>
  <si>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</si>
  <si>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 600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</si>
  <si>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</si>
  <si>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</si>
  <si>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 Step 1: Calculate the weight of the soup after the first day
The soup initially weighs 80 kg. After the first day, it gets reduced by half, so the weight becomes</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</si>
  <si>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</si>
  <si>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</si>
  <si>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</si>
  <si>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</si>
  <si>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</si>
  <si>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</si>
  <si>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</si>
  <si>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</si>
  <si>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</si>
  <si>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 Calculating Days Until 90 Seconds
To find out how many days it will take Chris to hold his breath for 90 seconds, we need to calculate the number of days it takes to increase his breath-holding time from</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</si>
  <si>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</si>
  <si>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</si>
  <si>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From 4 pm - 6 pm, there are</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</si>
  <si>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</si>
  <si>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</si>
  <si>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 Step 1: Calculate the number of shells Mia has
Mia has 4 times as many shells as David. David has</t>
  </si>
  <si>
    <t>Tyrah has six times as many pencils as Sarah has. Tim has eight times as many pencils as Sarah. If Tyrah has 12 pencils, how many does Tim have?</t>
  </si>
  <si>
    <t>Sarah has 12/6=&lt;&lt;12/6=2&gt;&gt;2 pencils
Tim has 8*2=&lt;&lt;8*2=16&gt;&gt;16 pencils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</si>
  <si>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</si>
  <si>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</si>
  <si>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To find Amaya's marks in Maths, we need to calculate 1/10 of her Music marks and subtract it from her Music marks.
Music marks = 70
1/10 of Music marks = 70 * 1/10 =</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</si>
  <si>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</si>
  <si>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</si>
  <si>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 Step 1: Calculate the total weight of the men
To find the total weight of the men, we multiply the number of men by their average weight. total_weight_men = 8 * 190 =</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</si>
  <si>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</si>
  <si>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</si>
  <si>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</si>
  <si>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</si>
  <si>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  $5.00</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</si>
  <si>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</si>
  <si>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</si>
  <si>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 1+ (8 * 100) *</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</si>
  <si>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</si>
  <si>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</si>
  <si>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</si>
  <si>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</si>
  <si>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
To find the total cost, first calculate the total number of shirts: 5 shirts * 4 fandoms = 20 shirts.
Next, calculate the total cost before tax: 20 shirts * $15/shirt = $300.
Apply the 20% discount: $300 * 0.20 = $60. Subtract the discount from the total cost: $300 - $60 = $240.
Finally, calculate the tax: $240 * 0.10 = $24.
Add the tax to the discounted cost: $240 + $24 =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</si>
  <si>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</si>
  <si>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</si>
  <si>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 Step 1: Calculate the total cost of pills for a</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</si>
  <si>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</si>
  <si>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</si>
  <si>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To find the time it takes to row the lake, we need to find the perimeter of the square lake and then divide it by Jake's rowing speed.
The perimeter of the square lake is 4 times the length of one side: 4 *</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</si>
  <si>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</si>
  <si>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</si>
  <si>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Let's denote the number of tickets won from each game as x. Since she won tickets from 5 games, the total number of tickets won is 5x.
She also found 5 tickets on the floor, so the total number of tickets is 5x + 5.
Each ticket is worth $3, so the total value of the tickets is</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</si>
  <si>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</si>
  <si>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</si>
  <si>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 3 * $</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</si>
  <si>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</si>
  <si>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</si>
  <si>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 90</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</si>
  <si>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</si>
  <si>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</si>
  <si>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 xml:space="preserve">Let's denote the number of rubber bands Bailey had initially as B, Justine as J, and Ylona as Y.
From the problem, we know:
</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</si>
  <si>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</si>
  <si>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</si>
  <si>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</si>
  <si>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</si>
  <si>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To find the total number of balls without holes, we need to subtract the number of balls with holes from the total number of balls.
Total soccer balls: 40
Total basketballs:</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</si>
  <si>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</si>
  <si>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</si>
  <si>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</si>
  <si>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</si>
  <si>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</si>
  <si>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</si>
  <si>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To find the total points Jimmy earned, multiply the points per exam by the number of exams: 
20 *</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</si>
  <si>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</si>
  <si>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</si>
  <si>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 102</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</si>
  <si>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</si>
  <si>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</si>
  <si>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 40</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</si>
  <si>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</si>
  <si>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</si>
  <si>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</si>
  <si>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</si>
  <si>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To find the total number of animals, we need to calculate the number of each type of animal and add them together.
1. Antelopes:</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</si>
  <si>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</si>
  <si>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</si>
  <si>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 Step 1: Determine the total number of mushrooms
There are 30 mushrooms in total on the fallen log.
## Step 2: Calculate the ratio of gilled mushrooms to spotted mushrooms
For every 9 spotted mushrooms, there is 1 gilled mushroom. This means the ratio of gilled to spotted mushrooms is</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</si>
  <si>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</si>
  <si>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</si>
  <si>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</si>
  <si>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</si>
  <si>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 Step 1: Calculate the total number of cards in the boxes Robie has.
Robie has 5 boxes with him, and each box contains</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</si>
  <si>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</si>
  <si>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</si>
  <si>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</si>
  <si>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</si>
  <si>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</si>
  <si>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</si>
  <si>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</si>
  <si>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Braelynn initially has 24 knives and twice as many teaspoons, which is 2 * 24 = 48 teaspoons.
She bought 1/3 as many additional knives, which is 1/3 *</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</si>
  <si>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</si>
  <si>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</si>
  <si>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 xml:space="preserve">To find the total driving time, we need to calculate the time taken for each trip and add them together.
Distance from home to workplace = </t>
  </si>
  <si>
    <t>Mason is three times younger than Sydney and Sydney is six years younger than Mason's father. If Mason is 20 years old, how old is his father?</t>
  </si>
  <si>
    <t>Sydney is 20*3 = &lt;&lt;20*3=60&gt;&gt;60 years old.
Mason’s father is 60+6 = &lt;&lt;60+6=66&gt;&gt;66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</si>
  <si>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</si>
  <si>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</si>
  <si>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 Step 1: Calculate the number of hens
To find the number of hens, subtract the number of roosters from the total number of chickens. hens = total_chickens - roosters =</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</si>
  <si>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</si>
  <si>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</si>
  <si>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 Calculating the total time spent
Let's break down the time spent by John:
- Exploring the jungle: 3 years
- Writing up notes: Half of 3 years is 1.5 years
- Writing the book: 0.5 years
## Total time spent
Total time spent = Exploring + Writing notes + Writing book
Total time spent = 3 + 1.5 + 0.5
Total time spent = 5 years
The final answer is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</si>
  <si>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</si>
  <si>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</si>
  <si>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 Step 1: Calculate the total amount spent on jewelry
To find out how much of Scarlet's savings are left, we first need to calculate the total amount she spent on jewelry. This can be done by adding the cost of the earrings and the necklace.
## Step 2: Add the cost of the earrings and the necklace
Total amount spent = cost of earrings + cost of necklace
Total amount spent = $23 + $48
Total amount spent = $71
## Step 3: Subtract the total amount spent from the initial savings
Now, we subtract the total amount spent from Scarlet's initial savings to find out how much is left.
## Step 4: Calculate the remaining savings
Remaining savings = Initial savings - Total amount spent
Remaining savings = $80 - $71
Remaining savings = $9
The final answer is: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</si>
  <si>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</si>
  <si>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</si>
  <si>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 xml:space="preserve">To find the total number of pages in the book, we need to find the total number of pages Jesse read and then multiply it by </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</si>
  <si>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</si>
  <si>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</si>
  <si>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To find the average age, we need to find the ages of John and Mary first.
Since Tonya is 60 and John is half as old as Tonya, John's age is 60 / 2 = 30.
Since John is twice as old as Mary, Mary's age is</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</si>
  <si>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</si>
  <si>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</si>
  <si>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 xml:space="preserve">To find the cost of a single figurine, we need to first find the total cost of the televisions. 
</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</si>
  <si>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</si>
  <si>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</si>
  <si>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</si>
  <si>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</si>
  <si>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 Step 1: Calculate Brady's annual income
Brady makes $450 more than Dwayne, and Dwayne makes $1,</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</si>
  <si>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</si>
  <si>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</si>
  <si>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</si>
  <si>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</si>
  <si>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To find the total number of ducks and ducklings, we need to calculate the number of ducks and the number of ducklings separately and then add them together.
Number of ducks:
- 2 ducks
- 6 ducks
- 9 ducks
Total number of ducks =</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</si>
  <si>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</si>
  <si>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</si>
  <si>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</si>
  <si>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</si>
  <si>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 Step 1: Calculate the number of diaries Natalie's sister bought last summer.
Natalie's sister had 8 small diaries initially. She bought double the number of diaries she had, so she bought 2 * 8 =</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</si>
  <si>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</si>
  <si>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</si>
  <si>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To find the ages of Rachel and Collete, we need to use the given information:
Rona is 8 years old.
Rachel is twice as old as Rona, so Rachel is 2 * 8 =</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</si>
  <si>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</si>
  <si>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</si>
  <si>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To find the total airflow in one week, we need to calculate the airflow per day and then multiply it by 7.
Airflow per day = 10 liters/second * 60 seconds/minute *</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</si>
  <si>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</si>
  <si>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</si>
  <si>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 Step 1: Calculate the total number of construction papers needed
Kelly has 8 students, and each student needs 3 pieces of construction paper. So, the total number of construction papers needed is</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</si>
  <si>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</si>
  <si>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</si>
  <si>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Three dozen eggs is 3 * 1</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</si>
  <si>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</si>
  <si>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</si>
  <si>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</si>
  <si>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</si>
  <si>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 75 
Explanation: 
- Bicycles have 2 wheels each, so 20 bicycles have 20 *</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</si>
  <si>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</si>
  <si>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</si>
  <si>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 Step 1: Calculate the total amount of money Troy currently has.
Troy initially saved $50 and plans to sell his old computer for $20. So, the total amount of money he currently has is $</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</si>
  <si>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</si>
  <si>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</si>
  <si>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</si>
  <si>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</si>
  <si>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 75</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</si>
  <si>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</si>
  <si>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</si>
  <si>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 $12</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</si>
  <si>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</si>
  <si>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</si>
  <si>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size of the 6th biggest doll, we need to find the size of each doll in sequence.
1. The biggest doll is</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</si>
  <si>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</si>
  <si>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</si>
  <si>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 (</t>
  </si>
  <si>
    <t>Ocho has 8 friends and half are girls. His friends who are boys like to play theater with him. How many boys play theater with him?</t>
  </si>
  <si>
    <t>Half his friends are boys because 1 - 1/2 = 1/2
He plays with four boys because 8 x 1/2= &lt;&lt;8*1/2=4&gt;&gt;4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</si>
  <si>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</si>
  <si>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</si>
  <si>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Step 1: Determine Manu's time to finish the race
Manu took 12 more seconds than Patrick to finish the race. Since Patrick finished in 6 seconds, Manu took 60 + 12 =</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</si>
  <si>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</si>
  <si>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</si>
  <si>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 33</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</si>
  <si>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</si>
  <si>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</si>
  <si>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To find the total buckets of fish fed per day, we need to calculate the buckets fed to each group:
- Sharks: 4 buckets
- Dolphins: 4 /</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</si>
  <si>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</si>
  <si>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</si>
  <si>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</si>
  <si>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</si>
  <si>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</si>
  <si>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</si>
  <si>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 Step 1: Calculate the sister's age
The sister is 6 years older than Nick, who is</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</si>
  <si>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</si>
  <si>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</si>
  <si>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 22</t>
  </si>
  <si>
    <t>Four kids can wash three whiteboards in 20 minutes. How long would it take, in minutes, for one kid to wash six whiteboards?</t>
  </si>
  <si>
    <t>One kid can wash three whiteboards in 20*4=&lt;&lt;20*4=80&gt;&gt;80 minutes.
One kid can wash six whiteboards in 80*(6/3)=160 minutes.
####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</si>
  <si>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</si>
  <si>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</si>
  <si>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 Step 1: Calculate the original number of trees cut by the Albaszu machine per day.
The Albaszu machine was cutting</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</si>
  <si>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</si>
  <si>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</si>
  <si>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</si>
  <si>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</si>
  <si>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 840</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</si>
  <si>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</si>
  <si>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</si>
  <si>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 Step 1: Calculate the number of free-throws Kayla made
Kayla made</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</si>
  <si>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</si>
  <si>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</si>
  <si>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</si>
  <si>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</si>
  <si>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To find Jenna's total profit or loss, we need to calculate her revenue, cost, and expenses.
Revenue = Number of widgets sold * Price per widget
=</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</si>
  <si>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</si>
  <si>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</si>
  <si>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To find the cumulative points, we need to calculate the points from the last home game and the three away games.
The last home game score is 62 points.
The first away game score is half of the last home game score: 62 /</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</si>
  <si>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</si>
  <si>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</si>
  <si>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James spends 40 years teaching.  His partner has been teaching for 10 years less.  How long is their combined experience?</t>
  </si>
  <si>
    <t>His partner has been teaching for 40-10=&lt;&lt;40-10=30&gt;&gt;30 years
So together they have 40+30=&lt;&lt;40+30=70&gt;&gt;70 years of experience
#### 70</t>
  </si>
  <si>
    <t>## Step 1: Calculate the experience of James' partner
James' partner has been teaching for 10 years less than James, so the partner's experience is 40 -</t>
  </si>
  <si>
    <t>Randolph is 5 years older than Sydney. Sydney is twice as old as Sherry. If Sherry is 25, how old is Randolph?</t>
  </si>
  <si>
    <t>Sydney is 25*2 = &lt;&lt;25*2=50&gt;&gt;50 years old.
Randolph is 50+5 = &lt;&lt;50+5=55&gt;&gt;55 years old.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</si>
  <si>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</si>
  <si>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</si>
  <si>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</si>
  <si>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</si>
  <si>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 210</t>
  </si>
  <si>
    <t>A train travels 360 miles in 3 hours. At the same rate, how many additional hours would it take to travel an additional 240 miles?</t>
  </si>
  <si>
    <t>The rate is 360/3=&lt;&lt;360/3=120&gt;&gt;120 mph.
Then it would take 240/120=&lt;&lt;240/120=2&gt;&gt;2 additional hours.
#### 2</t>
  </si>
  <si>
    <t>#### 0.67</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</si>
  <si>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</si>
  <si>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</si>
  <si>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 27</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</si>
  <si>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</si>
  <si>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</si>
  <si>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 76</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</si>
  <si>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</si>
  <si>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</si>
  <si>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</si>
  <si>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</si>
  <si>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 Step 1: Define the variables for the problem
Let's denote the number of vampires as V and the number of werewolves as W. We know that W = 4V.
## Step 2: Calculate the amount earned from vampires and werewolves
Van Helsing earns $5 per vampire and $10 per werewolf. He removes half the vampires, so he earns 0.5 * 5 * V = 2.5V dollars from vampires. He removes 8 werewolves, so he earns 10 * 8 = 80 dollars from werewolves.
## Step 3: Set up the equation for the total amount earned
The total amount earned is $105, so we can set up the equation: 2.5V + 80 = 105.
## Step 4: Solve the equation for V
Subtract 80 from both sides of the equation: 2.5V = 105 - 80, which simplifies to 2.5V = 25. Divide both sides by 2.5: V = 25 / 2.5, which simplifies to V = 10.
## Step 5: Calculate the number of werewolves
Since W = 4V, we can substitute V = 10 into the equation to get W = 4 * 10, which simplifies to W = 40.
## Step 6: Calculate the percentage of werewolves removed
The percentage of werewolves removed is the number of werewolves removed (8) divided by the total number of werewolves (40), multiplied by 100. This is (8 / 40) * 100, which simplifies to 20%.
The final answer is: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</si>
  <si>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</si>
  <si>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</si>
  <si>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find the percentage of vinegar left, we need to calculate the remaining percentage after each year.
Year</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</si>
  <si>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</si>
  <si>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</si>
  <si>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 Step 1: Calculate the number of stairs Samir climbed
Samir climbed</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</si>
  <si>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</si>
  <si>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</si>
  <si>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
To find the amount of money Trip could save, we need to calculate the cost of the ticket and the combo at the regular price, and then subtract the cost at the discounted price.
Regular price:
Ticket: $10
Combo: $10
Total: $20
Discounted price:
Ticket: $10 * 0.8 = $8
Combo: $10 * 0.5 = $5
Total: $8 + $5 = $13
The amount of money Trip could save is:
$20 - $13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</si>
  <si>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</si>
  <si>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</si>
  <si>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 22.5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</si>
  <si>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</si>
  <si>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</si>
  <si>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To find the total revenue, we need to calculate the total number of pie pieces and the total cost of making the pies.
Each pie has 3 pieces, and the bakery makes 12 pies in an hour. So, the total number of pie pieces is:
12 pies *</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</si>
  <si>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</si>
  <si>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</si>
  <si>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To find the total earnings, we need to calculate the amount of fabric delivered each day and multiply it by the cost per yard.
Monday: 20 yards * $2/yard = $4
Tuesday:</t>
  </si>
  <si>
    <t>Alice and Emily are selling oranges at the farmer's market. Alice sold twice as many oranges as Emily did. In total, they sold 180 oranges. How many oranges did Alice sell?</t>
  </si>
  <si>
    <t>Emily sold 180/3=&lt;&lt;180/3=60&gt;&gt;60 oranges.
Alice sold 60*2=&lt;&lt;60*2=120&gt;&gt;120 oranges.
#### 120</t>
  </si>
  <si>
    <t>#### 120</t>
  </si>
  <si>
    <t>A pool has 48 blue tiles and 32 red tiles. If the pool needs 100 tiles to be completed, how many more tiles are needed?</t>
  </si>
  <si>
    <t>The pool currently has 48+32 = &lt;&lt;48+32=80&gt;&gt;80 tiles.
The pool needs 100-80 = &lt;&lt;100-80=20&gt;&gt;20 more tiles to be completed.
#### 20</t>
  </si>
  <si>
    <t>## Calculating the number of tiles needed
To find out how many more tiles are needed, we need to subtract the total number of tiles already present from the total number of tiles required.
Total tiles already present =</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</si>
  <si>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</si>
  <si>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</si>
  <si>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</si>
  <si>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</si>
  <si>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</si>
  <si>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</si>
  <si>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To find the total cost of the plates, multiply the number of plates by the cost per plate:
9 plates * $2/plate = $18
Subtract the cost of the plates from the total amount paid to find the cost of the spoons:
$24 - $18 = $6
Now, divide the cost of the spoons by the cost per spoon to find the number of spoons:
$6 / $1.50/spoon = 4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</si>
  <si>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</si>
  <si>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</si>
  <si>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Let's denote the number of spaces in section 3 as x. Since section 2 has 200 more spaces than section 3, the number of spaces in section 2 is x + 200.
We know that the total number of spaces is 100, and section 1 has</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</si>
  <si>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</si>
  <si>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</si>
  <si>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 Step 1: Define the variables
Let H = Hiram's age and A = Allyson's age.
## Step 2: Translate the problem into an equation
The problem states that when you take Hiram's age and add 12, you get 4 less than twice Allyson's age. This can be written as:
H +</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</si>
  <si>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</si>
  <si>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</si>
  <si>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Let's break down the information:
- Total women at the party: 60
- Married women who brought their husbands:</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</si>
  <si>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</si>
  <si>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</si>
  <si>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 Step 1: Calculate the number of doubles Rob has
Rob has 24 baseball cards, and one third of them are doubles. To find the number of doubles, we need to divide 24 by 3.
## Step 2: Perform the division to find the number of doubles Rob has
24 /</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</si>
  <si>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</si>
  <si>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</si>
  <si>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 1150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</si>
  <si>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</si>
  <si>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</si>
  <si>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 320,000 * 1.5 - (320,000 + 100,000)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</si>
  <si>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</si>
  <si>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</si>
  <si>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 xml:space="preserve">To find the number of adults, we need to subtract the total number of apples eaten by children from the total number of apples.
Total apples eaten by children = </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</si>
  <si>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</si>
  <si>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</si>
  <si>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 1680</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</si>
  <si>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</si>
  <si>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</si>
  <si>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 2000</t>
  </si>
  <si>
    <t>John was 66 inches tall.  He had a growth spurt and grew 2 inches per month for 3 months.  How tall is he in feet?</t>
  </si>
  <si>
    <t>He gained 2*3=&lt;&lt;2*3=6&gt;&gt;6 inches
So his height is 66+6=&lt;&lt;66+6=72&gt;&gt;72 inches
So he is 72/12=&lt;&lt;72/12=6&gt;&gt;6 feet tall
#### 6</t>
  </si>
  <si>
    <t>#### 68</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</si>
  <si>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</si>
  <si>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</si>
  <si>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 Step 1: Calculate the total amount of sugar removed by the ants in 3 hours
The ants remove 4 ounces of sugar every hour. In 3 hours, they will remove 4 *</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</si>
  <si>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</si>
  <si>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</si>
  <si>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To find the total number of pages Justin will have read, we need to calculate the pages he reads each day and add them up.
Day 1:</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</si>
  <si>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</si>
  <si>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</si>
  <si>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Let's break down the information:
1. The younger brother is</t>
  </si>
  <si>
    <t>There are 6 dogs and 2 ducks in the garden. How many feet are there in the garden?</t>
  </si>
  <si>
    <t>6 dogs have 6 x 4 = &lt;&lt;6*4=24&gt;&gt;24 feet.
2 ducks have 2 x 2 = &lt;&lt;2*2=4&gt;&gt;4 feet
In total there are 24 + 4 = &lt;&lt;24+4=28&gt;&gt;28 feet in the garden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</si>
  <si>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</si>
  <si>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</si>
  <si>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 xml:space="preserve">To find the total number of episodes watched per week, add the episodes watched on Monday and Wednesday: 
</t>
  </si>
  <si>
    <t>A luxury bag costs $3000. A reseller wants to get a 15% profit. How much should she sell the bag?</t>
  </si>
  <si>
    <t>The reseller wants to get $3000 x 15/100 = $&lt;&lt;3000*15/100=450&gt;&gt;450 profit.
Thus, she needs to sell it for $3000 + $450 = $&lt;&lt;3000+450=3450&gt;&gt;3450.
#### 3450</t>
  </si>
  <si>
    <t>#### 3450</t>
  </si>
  <si>
    <t>John plants a plot of 3 trees by 4 trees.  Each tree gives 5 apples.  He sells each apple for $.5.  How much money does he make, in dollars?</t>
  </si>
  <si>
    <t>He has 3*4=&lt;&lt;3*4=12&gt;&gt;12 trees
So he has 12*5=&lt;&lt;12*5=60&gt;&gt;60 apples
So he sells the apples for 60*.5=$&lt;&lt;60*.5=30&gt;&gt;30
####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</si>
  <si>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</si>
  <si>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</si>
  <si>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To find the number of days, first, calculate the total weight the roof can bear in terms of leaves. Since 100 leaves weigh 1 pound, and the roof can bear</t>
  </si>
  <si>
    <t>A sack of rice, which is 50 kilograms,  costs $50. If David sells it for $1.20 per kilogram, how much will be his profit?</t>
  </si>
  <si>
    <t>David's revenue for the 50 kilograms of rice is $1.20 x 50 = $&lt;&lt;1.20*50=60&gt;&gt;60.
So, his profit is $60 - $50 = $&lt;&lt;60-50=10&gt;&gt;10.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</si>
  <si>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</si>
  <si>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</si>
  <si>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 30</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</si>
  <si>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</si>
  <si>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</si>
  <si>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 xml:space="preserve">Let's break down the problem step by step:
</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</si>
  <si>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</si>
  <si>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</si>
  <si>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First, we need to find out how many days are in 6 weeks. 
6 weeks *</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</si>
  <si>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</si>
  <si>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</si>
  <si>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</si>
  <si>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</si>
  <si>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To find the total minutes in a day, we need to know that there are</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</si>
  <si>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</si>
  <si>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</si>
  <si>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</si>
  <si>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</si>
  <si>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</si>
  <si>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</si>
  <si>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 20 * (700 + 700*1.5 + 700*2) = 20 * 2100 = 42000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</si>
  <si>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</si>
  <si>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</si>
  <si>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 21</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</si>
  <si>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</si>
  <si>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</si>
  <si>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To find the number of pieces of candy that were not chocolate, we first need to find the total number of pieces in each bag. 
Since Jerry divided 63 pieces of candy equally into 9 bags, each bag has 63 / 9 = 7 pieces of candy.
There are 2 bags with chocolate hearts and 3 bags with chocolate kisses, so the total number of chocolate bags is 2 + 3 = 5.
The number of bags that are not chocolate is 9 - 5 = 4.
Since each bag has 7 pieces of candy, the total number of pieces of candy that are not chocolate is 4 *</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</si>
  <si>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</si>
  <si>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</si>
  <si>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</si>
  <si>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</si>
  <si>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 Step 1: Calculate the number of candy bars sold on each day
On the first day, Sol sells 10 candy bars. Each subsequent day, she sells 4 more candy bars than the previous day. So, the number of candy bars sold on each day is as follows:
- Day</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</si>
  <si>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</si>
  <si>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</si>
  <si>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</si>
  <si>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</si>
  <si>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</si>
  <si>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</si>
  <si>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</si>
  <si>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</si>
  <si>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</si>
  <si>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</si>
  <si>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 480</t>
  </si>
  <si>
    <t>James buys 3 packs of candy.  He pays with a $20 bill and gets $11 change.  How much did each pack of candy cost?</t>
  </si>
  <si>
    <t>The candy cost 20-11=$&lt;&lt;20-11=9&gt;&gt;9
So he pays 9/3=$&lt;&lt;9/3=3&gt;&gt;3 per candy
#### 3</t>
  </si>
  <si>
    <t>## Step 1: Calculate the total amount spent on candy
To find out how much James spent on candy, we need to subtract the change he received from the $20 bill. Total spent = $20 - $11 = $9.
## Step 2: Calculate the cost of each pack of candy
Since James bought 3 packs of candy, we can divide the total amount spent by 3 to find the cost of each pack. Cost per pack = Total spent /</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</si>
  <si>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</si>
  <si>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</si>
  <si>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To find the amount of oil in the large tanker after pouring, we need to calculate three-quarters of 4000 liters and add it to the 3000 liters already in the tanker.
Three-quarters of</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</si>
  <si>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</si>
  <si>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</si>
  <si>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To solve this problem, let's break it down step by step:
1. The first 3 ducklings find 5 snails each, so they find a total of 3 x</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</si>
  <si>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</si>
  <si>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</si>
  <si>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 Step 1: Calculate the time to dry short-haired dogs
The dog groomer takes</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</si>
  <si>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</si>
  <si>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</si>
  <si>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 120
#### 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</si>
  <si>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</si>
  <si>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</si>
  <si>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 xml:space="preserve">## Calculating Teresa's Total Marks
To find Teresa's total marks, we need to add up the marks she scored in each subject.
- Science: </t>
  </si>
  <si>
    <t>There are 30 fish in the tank. One third of them are blue, and half of the blue fish have spots. How many fish in the tank are blue, spotted fish?</t>
  </si>
  <si>
    <t>There are 30/3=&lt;&lt;30/3=10&gt;&gt;10 blue fish.
There are 10/2=&lt;&lt;10/2=5&gt;&gt;5 blue spotted fish.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</si>
  <si>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</si>
  <si>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</si>
  <si>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 Step 1: Calculate the number of kids attending Saturday's class
20 kids attend Saturday's class.
## Step 2: Calculate the number of kids attending Sunday's class
Half of 20 kids attend Sunday's class, which is 20 /</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</si>
  <si>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</si>
  <si>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</si>
  <si>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</si>
  <si>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</si>
  <si>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</si>
  <si>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</si>
  <si>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</si>
  <si>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 Step 1: Determine the number of frogs in Pond B
Since Pond A has twice as many frogs as Pond B, we can find the number of frogs in Pond B by dividing the number of frogs in Pond A by</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</si>
  <si>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</si>
  <si>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</si>
  <si>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</si>
  <si>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</si>
  <si>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find the total time, we need to calculate the time for sewing 6 skirts and 4 coats separately and then add them together.
Time for sewing</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</si>
  <si>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</si>
  <si>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</si>
  <si>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To find out how much money Stormi has, we need to calculate the total amount she earned from washing cars and mowing lawns.
She washed 3 cars for $10 each, so she earned</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</si>
  <si>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</si>
  <si>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</si>
  <si>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</si>
  <si>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</si>
  <si>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 3.5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</si>
  <si>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</si>
  <si>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</si>
  <si>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 30,000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</si>
  <si>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</si>
  <si>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</si>
  <si>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 684</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</si>
  <si>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</si>
  <si>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</si>
  <si>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</si>
  <si>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</si>
  <si>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</si>
  <si>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</si>
  <si>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To find the total calories from added sugar in the soft drink, we need to calculate 5% of</t>
  </si>
  <si>
    <t>John's grill messes up and burns half his steak.  He eats 80% of what isn't burned.  If the steak was originally 30 ounces how much steak did he eat?</t>
  </si>
  <si>
    <t>There were 30*.5=&lt;&lt;30*.5=15&gt;&gt;15 ounces of unburnt steak
So he ate 15*.8=&lt;&lt;15*.8=12&gt;&gt;12 ounces of steak
#### 12</t>
  </si>
  <si>
    <t>Fifteen more than a quarter of a number is 27. What is the number?</t>
  </si>
  <si>
    <t>A quarter of the number is 27-15=&lt;&lt;27-15=12&gt;&gt;12.
The number is 12*4=&lt;&lt;12*4=48&gt;&gt;48.
#### 48</t>
  </si>
  <si>
    <t>## Step 1: Define the unknown number
Let's call the unknown number "x".
## Step 2: Translate the problem into an equation
The problem states that "Fifteen more than a quarter of a number is</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</si>
  <si>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</si>
  <si>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</si>
  <si>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</si>
  <si>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</si>
  <si>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 $42.50</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</si>
  <si>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</si>
  <si>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</si>
  <si>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 Calculating the total tickets used
To find the total tickets used, we need to calculate the tickets used by Jen and Russel separately and then add them together.
Jen played the shooting game twice, and each game costs 5 tickets. So, Jen used:
2 *</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</si>
  <si>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</si>
  <si>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</si>
  <si>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To find out how much Rachel should budget, we need to calculate how much Sara spent on the pair of shoes and dress. 
Sara spent $5on shoes and $</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</si>
  <si>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</si>
  <si>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</si>
  <si>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 Step 1: Calculate the initial decrease in value after 6 months
The lawnmower initially costs $100. After 6 months, its value drops by 25%. To find the decrease in value, we multiply the initial cost by the percentage decrease: $</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</si>
  <si>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</si>
  <si>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</si>
  <si>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</si>
  <si>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</si>
  <si>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 Step 1: Calculate the number of gift boxes Edmund can wrap per day
To find out how many gift boxes Edmund can wrap per day, we need to divide the total inches of gift wrapper he has per day (90 inches) by the inches of gift wrapper used per gift box (18 inches).
## Step 2: Perform the division to find the daily number of gift boxes
Daily gift boxes = Total inches per day / Inches per gift box =</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</si>
  <si>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</si>
  <si>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</si>
  <si>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To find the total amount James paid, first, calculate the total price of the shoes before any discounts. 
The first pair of shoes costs $40, and the second pair costs $60. Since the offer applies to the cheaper pair, the offer applies to the $40 pair. 
The offer is half off the original price of the cheaper pair, which is $40. Half of $40 is $20. So, the price of the cheaper pair after the offer is $</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</si>
  <si>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</si>
  <si>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</si>
  <si>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find the total time, we need to calculate the time spent typing and the time spent on breaks.
Time spent typing: 255 words / 15 words per minute = 17 minutes
Number of breaks:</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</si>
  <si>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</si>
  <si>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</si>
  <si>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</si>
  <si>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</si>
  <si>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To calculate the interest, we need to multiply the principal amount ($2000) by the interest rate (8% or</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</si>
  <si>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</si>
  <si>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</si>
  <si>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 94.75</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</si>
  <si>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</si>
  <si>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</si>
  <si>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</si>
  <si>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</si>
  <si>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 Step 1: Calculate the total cost of the meal after applying the coupon
The total cost of the meal is $67, and they have a coupon for $4. So, the total cost after applying the coupon is $67 - $4 = $</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</si>
  <si>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</si>
  <si>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</si>
  <si>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</si>
  <si>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</si>
  <si>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 Calculating the cost of blue pens
The cost of one blue pen is 10 cents.
The cost of 1 blue pens is</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</si>
  <si>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</si>
  <si>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</si>
  <si>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</si>
  <si>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</si>
  <si>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 105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</si>
  <si>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</si>
  <si>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</si>
  <si>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 Step 1: Determine the number of books Rebecca received
Rebecca received 40 books.
## Step 2: Calculate the number of books Mara received
Since Mara received three times as many books as Rebecca, Mara received 3 *</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</si>
  <si>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</si>
  <si>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</si>
  <si>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 14</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</si>
  <si>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</si>
  <si>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</si>
  <si>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</si>
  <si>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</si>
  <si>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</si>
  <si>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</si>
  <si>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</si>
  <si>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</si>
  <si>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 Step 1: Calculate the length of the rope Orlan gave to Allan
Orlan gave one-fourth of his</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</si>
  <si>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</si>
  <si>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</si>
  <si>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 18200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</si>
  <si>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</si>
  <si>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</si>
  <si>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 Step 1: Calculate the initial weight loss
Mary initially lost a dozen pounds, which is 12 pounds.
## Step 2: Calculate the weight gained back
She added back twice the weight that she initially lost, which is 2 *</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</si>
  <si>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</si>
  <si>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</si>
  <si>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</si>
  <si>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</si>
  <si>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To find out how much Dawn saves each month, we need to calculate 10% of her monthly salary.
First, we need to find out her monthly salary:</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</si>
  <si>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</si>
  <si>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</si>
  <si>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</si>
  <si>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</si>
  <si>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 Step 1: Calculate the total number of red bouncy balls
Jill bought</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</si>
  <si>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</si>
  <si>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</si>
  <si>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 Step 1: Calculate the total amount Janet spent on muffins
To find out how many muffins Janet bought, we first need to calculate the total amount she spent on muffins. This can be done by subtracting the change she received from the amount she paid. Total spent = Amount paid - Change received.
## Step 2: Convert the amount spent to cents
Since the price of each muffin is given in cents, we need to convert the total amount spent into cents. $</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</si>
  <si>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</si>
  <si>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</si>
  <si>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 73</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</si>
  <si>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</si>
  <si>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</si>
  <si>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To find the total amount of flour, multiply the number of bags by the weight of each bag: 4 bags *</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</si>
  <si>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</si>
  <si>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</si>
  <si>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 74</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</si>
  <si>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</si>
  <si>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</si>
  <si>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To find the total cost of the parking tickets, first find the cost of the third ticket. 
1/</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</si>
  <si>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</si>
  <si>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</si>
  <si>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To find the total miles walked, we need to calculate the miles walked by the group and the additional miles walked by Jamie and Sue.
The group walks 3 miles together per day, and they walk 6 days a week. So, the group walks 3 * 6 = 18 miles per week.
Jamie walks an additional 2 miles per day for 6 days, so she walks 2 * 6 = 12 miles per week.
Sue walks half of Jamie's additional miles, which is 12 / 2 = 6 miles per week.
The total miles walked by the group and Jamie and Sue is</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</si>
  <si>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</si>
  <si>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</si>
  <si>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 Step 1: Calculate the number of books Katie has
Katie has half as many books as Darla, so Katie has 6 /</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</si>
  <si>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</si>
  <si>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</si>
  <si>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 Calculating the total number of bike clamps given to customers
To find the total number of bike clamps given to customers, we need to calculate the number of bike clamps given for each sale and then add them together.
Each bike comes with 2 free bike clamps. 
## Morning sales
19 bikes were sold in the morning, so the number of bike clamps given away in the morning is:</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</si>
  <si>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</si>
  <si>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</si>
  <si>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 Step 1: Determine the time it would take Mr. Harris to walk to the destination.
Since Mr. Harris took 2 hours to walk to the store, and the destination is 3 times further away, it would take him 3 times longer to walk to the destination. So,</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</si>
  <si>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</si>
  <si>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</si>
  <si>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 2800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</si>
  <si>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</si>
  <si>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</si>
  <si>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 3 x 5 x 20 =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</si>
  <si>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</si>
  <si>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</si>
  <si>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</si>
  <si>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</si>
  <si>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</si>
  <si>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</si>
  <si>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</si>
  <si>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</si>
  <si>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 Step 1: Calculate the total cost of tickets for Jeremie and her 3 friends.
The cost of a ticket is $18. Since there are 4 people going to the amusement park (Jeremie and her 3 friends), the total cost of tickets is</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</si>
  <si>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</si>
  <si>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</si>
  <si>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 Calculating the total ribbon used
To find out how many yards of ribbon will be used, we need to multiply the number of gifts by the yards of ribbon each gift will use.
6 gifts *</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</si>
  <si>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</si>
  <si>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</si>
  <si>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 Step 1: Calculate the initial number of blue balls
Jamie had two times more blue balls than red balls. Since he had</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</si>
  <si>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</si>
  <si>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</si>
  <si>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Tim spends 1 hour a day meditating.  He spends twice as much time reading.  How much time a week does he spend reading?</t>
  </si>
  <si>
    <t>He spends 2*1=&lt;&lt;2*1=2&gt;&gt;2 hours reading
So he reads for 2*7=&lt;&lt;2*7=14&gt;&gt;14 hours a week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</si>
  <si>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</si>
  <si>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</si>
  <si>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To find the hours Steve spends with his family, we need to find the total hours in a day and subtract the hours spent on other activities.
There are</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</si>
  <si>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</si>
  <si>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</si>
  <si>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</si>
  <si>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</si>
  <si>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 Step 1: Calculate the number of surfers on the second day
The number of surfers on the second day is</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</si>
  <si>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</si>
  <si>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</si>
  <si>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 19.2</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</si>
  <si>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</si>
  <si>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</si>
  <si>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 974,000 * 0.673 =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</si>
  <si>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</si>
  <si>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</si>
  <si>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 37</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</si>
  <si>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</si>
  <si>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</si>
  <si>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</si>
  <si>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</si>
  <si>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</si>
  <si>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</si>
  <si>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</si>
  <si>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</si>
  <si>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</si>
  <si>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</si>
  <si>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 60000 - (60000 * 0.18) = 48000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</si>
  <si>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</si>
  <si>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</si>
  <si>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 1055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</si>
  <si>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</si>
  <si>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</si>
  <si>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we need to divide the price you paid by 0.</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</si>
  <si>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</si>
  <si>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</si>
  <si>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To find the total hours James spends writing per week, we need to calculate the total pages he writes per week and then divide it by his writing speed.
He writes</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</si>
  <si>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</si>
  <si>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</si>
  <si>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Let's denote the width as w. Since the length is twice the width, the length is 2w.
The perimeter of a rectangle is given by the formula: Perimeter = 2(length + width)
Substituting the values, we get:</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</si>
  <si>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</si>
  <si>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</si>
  <si>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</si>
  <si>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</si>
  <si>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</si>
  <si>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</si>
  <si>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To find the length of each piece, we'll break it down step by step:
1. Stefan cuts the rope into</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</si>
  <si>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</si>
  <si>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</si>
  <si>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find the number of cheese balls in the 35oz barrel, we need to first find the number of cheese balls in the 24oz barrel.
Number of cheese balls in</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</si>
  <si>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</si>
  <si>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</si>
  <si>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To find the total fuel needed, we need to calculate the fuel needed for the empty plane, the passengers, and the bags.
Empty plane: 2gallons/mile * 40 miles =</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</si>
  <si>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</si>
  <si>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</si>
  <si>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 Calculating the total cost of the equipment
### Step 1: Calculate the cost of the flashlight
The flashlight costs 20% of the hoodie's price.</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</si>
  <si>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</si>
  <si>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</si>
  <si>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</si>
  <si>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</si>
  <si>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 320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</si>
  <si>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</si>
  <si>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</si>
  <si>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To find the total number of car wheels, we need to calculate the number of wheels from the guests' cars and add the number of wheels from Dylan's parents' cars.
Number of wheels from guests' cars: 10 cars * 4 wheels per car = 40 wheels
Number of wheels from Dylan's parents' cars: 2 cars * 4 wheels per car = 8 wheels
Total number of wheels: 40 wheels + 8 wheels = 4</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</si>
  <si>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</si>
  <si>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</si>
  <si>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To find the ages of Halima, Beckham, and Michelle, we need to divide the total age by the sum of the ratio parts (4+3+7 = 14) and then multiply by each ratio part.
Let's assume the common multiplier is x.</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</si>
  <si>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</si>
  <si>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</si>
  <si>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</si>
  <si>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</si>
  <si>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 10.5</t>
  </si>
  <si>
    <t>The Dow Jones Industrial Average fell 2% today. The Dow ended the day at 8,722. What was the Dow in the morning before the markets opened?</t>
  </si>
  <si>
    <t>Today the Dow was down 8722 / 98*2 = &lt;&lt;8722/98*2=178&gt;&gt;178.
So it started at 8722 + 178 = &lt;&lt;8722+178=8900&gt;&gt;8900.
####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</si>
  <si>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</si>
  <si>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</si>
  <si>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To find the total money John makes, we need to calculate the money he generates in the first 12 hours and the remaining</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</si>
  <si>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</si>
  <si>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</si>
  <si>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To find out how many customers will go home without any fish, we need to calculate the total amount of tuna Mr. Ray has and divide it by the amount each customer wants.
Total tuna weight = 10 tuna * 200 pounds/tuna = 2000 pounds
Total customers = 100
Since each customer wants 25 pounds of tuna, we divide the total tuna weight by 25:</t>
  </si>
  <si>
    <t>Jack buys a squat rack for $2500.  The barbell cost 1/10 as much.  How much did he pay for everything?</t>
  </si>
  <si>
    <t>The barbell cost 2500/10=$&lt;&lt;2500/10=250&gt;&gt;250
So he paid 2500+250=$&lt;&lt;2500+250=2750&gt;&gt;2750 for everything
#### 2750</t>
  </si>
  <si>
    <t>#### 2200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</si>
  <si>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</si>
  <si>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</si>
  <si>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 Step 1: Calculate the number of cars in the back parking lot
The number of cars in the back parking lot is two times more than the number of cars in the front parking lot. Since there are 100 cars in the front parking lot, the number of cars in the back parking lot is</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</si>
  <si>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</si>
  <si>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</si>
  <si>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To find the reduced price of the shirt, calculate 20% of the original price and subtract it from the original price.</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</si>
  <si>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</si>
  <si>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</si>
  <si>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To find out how many pounds Frank eats per week, we need to calculate the total amount of money he spent on peanuts.
Frank had $4 in change, and initially, he had $7 + $</t>
  </si>
  <si>
    <t>Amy's grandfather gave her $100 for her birthday. Amy bought 3 dolls, each of which cost $1. How much money does Amy have left?</t>
  </si>
  <si>
    <t>The cost of the dolls is 3 × $1 = $&lt;&lt;3*1=3&gt;&gt;3.
Amy has $100 − $3 = $97 left.
#### 97</t>
  </si>
  <si>
    <t>#### $94</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</si>
  <si>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</si>
  <si>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</si>
  <si>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 3500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</si>
  <si>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</si>
  <si>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</si>
  <si>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 430</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</si>
  <si>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</si>
  <si>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</si>
  <si>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To find the total number of miles the two friends run together, we need to add the miles run by Harvey and Sam.
Sam runs</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</si>
  <si>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</si>
  <si>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</si>
  <si>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To find out how many newspapers Miranda delivers in a week, we need to multiply Jake's weekly delivery by 2.
Miranda's weekly delivery =</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</si>
  <si>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</si>
  <si>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</si>
  <si>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 8 + 2(8) + x = 2700 / 6
#### 8 + 16 + x = 450
#### 24 + x = 450
#### x = 426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</si>
  <si>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</si>
  <si>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</si>
  <si>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 Step 1: Calculate the distance walked before returning home
Robin walks 200 meters before realizing he forgot his bag.
## Step 2: Calculate the distance walked to return home
Since he is 200 meters away from home, he walks the same distance back, which is</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</si>
  <si>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</si>
  <si>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</si>
  <si>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find the total cost of the meal, add the prices of the dishes: $</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</si>
  <si>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</si>
  <si>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</si>
  <si>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</si>
  <si>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</si>
  <si>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</si>
  <si>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</si>
  <si>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</si>
  <si>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</si>
  <si>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To find the total combined rainfall, we need to calculate the rainfall for each day and add them together.
On Monday, it rained for 7 hours at a rate of 1 inch per hour, so the total rainfall is:
7 hours *</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</si>
  <si>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</si>
  <si>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</si>
  <si>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 $24,400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</si>
  <si>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</si>
  <si>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</si>
  <si>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To find the total number of pages Yasna needs to read, add the pages of both books: 180 + 100 = 280 pages.
Since Yasna wants to finish both books in two weeks, first, find the total number of days in two weeks: 2 weeks *</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</si>
  <si>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</si>
  <si>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</si>
  <si>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To find the distance driven by each person, we multiply their speed by the time they drove.
Joseph: 50 mph * 2.5 hours =</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</si>
  <si>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</si>
  <si>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</si>
  <si>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To find the total hours in a day, we need to add the hours Claire spent on cleaning, cooking, sleeping, and the remaining hours for crafting and tailoring.
Total hours in a day = 24
Hours spent cleaning = 4
Hours spent cooking = 2
Hours spent sleeping = 8
Remaining hours =</t>
  </si>
  <si>
    <t>Josette bought 3 bottles of mineral water for €1.50. How much will four bottles cost?</t>
  </si>
  <si>
    <t>A bottle costs 1.50 € / 3 = &lt;&lt;1.50/3=0.50&gt;&gt;0.50 €.
So, four bottles cost 0.50 € * 4 = &lt;&lt;0.50*4=2&gt;&gt;2 €.
#### 2</t>
  </si>
  <si>
    <t>#### 4.50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</si>
  <si>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</si>
  <si>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</si>
  <si>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 4000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</si>
  <si>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</si>
  <si>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</si>
  <si>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 Step 1: Calculate the amount Julia spent on the new game
Julia spent half of her money on the new game. Half of $4is $4/ 2 = $</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</si>
  <si>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</si>
  <si>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</si>
  <si>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To find the total number of trees, we need to divide the number of streets by 2, since every other tree will be a fruit tree. 
Total number of trees = 18 / 2 = 9
Since the association wants equal numbers of plum, pear, and apricot trees, we can divide the total number of trees by 3.
Number of each kind of tree = 9 / 3 = 3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</si>
  <si>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</si>
  <si>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</si>
  <si>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 Step 1: Calculate the initial number of necklaces after throwing out the broken ones
Becky starts with 50 necklaces and throws out 3 broken ones, so she has 50 - 3 = 47 necklaces left.
## Step 2: Calculate the number of necklaces after buying new ones
Becky buys 5 new necklaces, so she now has 47 + 5 = 5</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</si>
  <si>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</si>
  <si>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</si>
  <si>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 80 + 40 = 120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</si>
  <si>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</si>
  <si>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</si>
  <si>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 Step 1: Calculate the number of red flowers
Since there are three times more red flowers than green flowers, we can calculate the number of red flowers by multiplying the number of green flowers by 3. red_flowers = 9 * 3 = 27
## Step 2: Calculate the number of blue flowers
Blue flowers make up 50% of the total flower count. We can calculate the number of blue flowers by multiplying the total number of flowers by 0.5. blue_flowers =</t>
  </si>
  <si>
    <t>Billy weighs 9 pounds more than Brad. Brad weighs 5 pounds more than Carl. If Carl weighs 145 pounds, how much does Billy weigh, in pounds?</t>
  </si>
  <si>
    <t>Brad weighs 145+5=&lt;&lt;145+5=150&gt;&gt;150 pounds.
Billy weighs 150+9=&lt;&lt;150+9=159&gt;&gt;159 pounds.
#### 159</t>
  </si>
  <si>
    <t>## Step 1: Determine Carl's weight
Carl weighs</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</si>
  <si>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</si>
  <si>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</si>
  <si>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</si>
  <si>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</si>
  <si>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 4.5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</si>
  <si>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</si>
  <si>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</si>
  <si>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 3 x 20 = 60
#### 3 x 28 = 84
#### 3 x 23 = 69
#### 84 - 69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</si>
  <si>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</si>
  <si>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</si>
  <si>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To solve this problem, we need to find the number of ripe and unripe oranges, then subtract the ones eaten.
Half of 96 oranges are ripe: 96 / 2 = 4</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</si>
  <si>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</si>
  <si>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</si>
  <si>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 72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</si>
  <si>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</si>
  <si>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</si>
  <si>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</si>
  <si>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</si>
  <si>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 Calculating the total cost of Adam's purchases
To find the total cost, we need to calculate the cost of nuts and dried fruits separately and then add them together.
Cost of nuts:</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</si>
  <si>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</si>
  <si>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</si>
  <si>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 xml:space="preserve">To find the total amount of money they received, we need to calculate the total hours worked by each man and then multiply it by the hourly wage.
Total hours worked by each man = </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</si>
  <si>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</si>
  <si>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</si>
  <si>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 125</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</si>
  <si>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</si>
  <si>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</si>
  <si>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</si>
  <si>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</si>
  <si>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</si>
  <si>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</si>
  <si>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</si>
  <si>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</si>
  <si>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 968</t>
  </si>
  <si>
    <t>There are 350 trees in the park, 70% of which are pine trees. How many are not pine trees?</t>
  </si>
  <si>
    <t>There are 350 x 70/100 = &lt;&lt;350*70/100=245&gt;&gt;245 pine trees.
Therefore, 350 - 245 = &lt;&lt;350-245=105&gt;&gt;105 trees are not pine trees.
#### 105</t>
  </si>
  <si>
    <t>#### 245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</si>
  <si>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</si>
  <si>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</si>
  <si>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</si>
  <si>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</si>
  <si>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 295</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</si>
  <si>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</si>
  <si>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</si>
  <si>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find the total amount Carl needs to spend, we need to calculate the total amount of gas he'll need and then multiply it by the cost per gallon.
City miles: 60 miles / 30 miles per gallon = 2 gallons
Highway miles: 200 miles / 40 miles per gallon = 5 gallons
Total gallons: 2 gallons + 5 gallons = 7 gallons
Total cost:</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</si>
  <si>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</si>
  <si>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</si>
  <si>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To find the total number of sequins, we need to calculate the number of sequins for each color and add them together.
Blue sequins: 6 rows *</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</si>
  <si>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</si>
  <si>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</si>
  <si>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find the number of oysters Bob can shuck in 2 hours, we need to first find out how many oysters he can shuck in 1 hour, and then multiply that by 2.
Since Bob can shuck</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</si>
  <si>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</si>
  <si>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</si>
  <si>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 xml:space="preserve">To find the total miles driven, add the miles driven for each errand: 
</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</si>
  <si>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</si>
  <si>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</si>
  <si>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John goes to the store and pays with a 20 dollar bill.  He buys 3 sodas and gets $14 in change.  How much did each soda cost?</t>
  </si>
  <si>
    <t>He paid 20-14=$&lt;&lt;20-14=6&gt;&gt;6
So each soda cost 6/3=$&lt;&lt;6/3=2&gt;&gt;2
#### 2</t>
  </si>
  <si>
    <t>## Step 1: Calculate the total cost of the sodas
To find the cost of each soda, we first need to calculate the total cost of the sodas. John paid with a $20 bill and received $14 in change. So, the total cost of the sodas is $20 - $14 = $6.
## Step 2: Calculate the cost of each soda
Now that we know the total cost of the sodas is $6, we can divide this amount by the number of sodas John bought, which is 3. cost_per_soda = total_cost / number_of_sodas = $6 / 3 = $2.
The final answer is: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</si>
  <si>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</si>
  <si>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</si>
  <si>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</si>
  <si>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</si>
  <si>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To find the total cost, we need to calculate the cost of the pasture, food, and lessons separately and then add them together.
1. Cost of the pasture: $500/month *</t>
  </si>
  <si>
    <t>The teachers divided the group of students into 3 groups of 8. But 2 students left early. How many remain?</t>
  </si>
  <si>
    <t>There were initially 3*8=&lt;&lt;3*8=24&gt;&gt;24.
Now there are 24-2=&lt;&lt;24-2=22&gt;&gt;22.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</si>
  <si>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</si>
  <si>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</si>
  <si>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 270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</si>
  <si>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</si>
  <si>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</si>
  <si>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</si>
  <si>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</si>
  <si>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 Step 1: Calculate the number of water balloons Max fills up
Max fills up water balloons for</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</si>
  <si>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</si>
  <si>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</si>
  <si>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 12/</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</si>
  <si>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</si>
  <si>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</si>
  <si>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</si>
  <si>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</si>
  <si>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find the price per ounce, we need to divide the price by the weight in ounces.
For the larger box: 
Price per ounce = $4.</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</si>
  <si>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</si>
  <si>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</si>
  <si>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Let's denote the cost of a chocolate bar as x.
The total cost of gummy bears is</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</si>
  <si>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</si>
  <si>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</si>
  <si>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</si>
  <si>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</si>
  <si>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 xml:space="preserve">To find out how many jars Clive needs, we divide the total number of olives needed by the number of olives per jar: 
</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</si>
  <si>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</si>
  <si>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</si>
  <si>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 59</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</si>
  <si>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</si>
  <si>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</si>
  <si>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 475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</si>
  <si>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</si>
  <si>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</si>
  <si>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</si>
  <si>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</si>
  <si>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 Step 1: Calculate the total number of slices
There are</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</si>
  <si>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</si>
  <si>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</si>
  <si>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To find the total number of tiles needed, we need to calculate the total area of the kitchen floor and divide it by the area of each tile.
The area of the kitchen floor is 48 inches * 7</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</si>
  <si>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</si>
  <si>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</si>
  <si>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</si>
  <si>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</si>
  <si>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 7.5</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</si>
  <si>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</si>
  <si>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</si>
  <si>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 Step 1: Calculate the total amount of money from the $10 bills.
Shelly has</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</si>
  <si>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</si>
  <si>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</si>
  <si>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To find the total amount of honey, multiply the number of hives by the amount of honey each hive produces: 
5 hives *</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</si>
  <si>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</si>
  <si>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</si>
  <si>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To find the cost per egg when buying a tray, divide the cost of the tray by the number of eggs: 
$</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</si>
  <si>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</si>
  <si>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</si>
  <si>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 Step 1: Calculate the total number of eggs Megan initially has.
Megan bought a dozen eggs and received another dozen eggs from her neighbor. So, she initially has 12 + 1</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</si>
  <si>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</si>
  <si>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</si>
  <si>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</si>
  <si>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</si>
  <si>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 Step 1: Calculate the total number of envelopes given away
Cindy gives 3 envelopes to each of her 5 friends, so the total number of envelopes given away is</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</si>
  <si>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</si>
  <si>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</si>
  <si>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 Step 1: Identify the number of small glasses polished
Wendy polished 50 small glasses.
## Step 2: Calculate the number of large glasses polished
She polished 10 more large glasses than small glasses, so the number of large glasses polished is 5+ 10 =</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</si>
  <si>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</si>
  <si>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</si>
  <si>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</si>
  <si>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</si>
  <si>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</si>
  <si>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</si>
  <si>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</si>
  <si>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Let's break down the information:
- Rent for the whole apartment: $1100
- Utilities for the whole apartment: $114
- Total paid by one roommate: $757
- Since they split equally, the total amount paid by both roommates is $</t>
  </si>
  <si>
    <t>A whole pizza was cut into 8 slices. Angeli and Marlon ate 3/2 slices each. How many slices of pizza are left?</t>
  </si>
  <si>
    <t>Angeli and Marlon ate a total of 3/2 x 2 = &lt;&lt;3/2*2=3&gt;&gt;3 slices of pizza.
Thus, 8 - 3 = &lt;&lt;8-3=5&gt;&gt;5 slices of pizza are left.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</si>
  <si>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</si>
  <si>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</si>
  <si>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 65</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</si>
  <si>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</si>
  <si>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</si>
  <si>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say Sabrina has x pencils. 
Since Justin has 8 more than twice as many pencils as Sabrina, Justin has 2x + 8 pencils.
We know that Justin and Sabrina have 50 pencils combined, so we can set up the equation:
x + (2x + 8) = 50
Combine like terms:
3x + 8 = 50
Subtract 8 from both sides:
3x = 42
Divide both sides by 3:
x =</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</si>
  <si>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</si>
  <si>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</si>
  <si>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</si>
  <si>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</si>
  <si>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 700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</si>
  <si>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</si>
  <si>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</si>
  <si>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 Step 1: Calculate the cost of test tubes
The laboratory spent two-thirds of the cost of flasks on test tubes. Since the cost of flasks is $150, the cost of test tubes is 2/3 * $150 = $</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</si>
  <si>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</si>
  <si>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</si>
  <si>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 xml:space="preserve">## Total packages to be delivered tomorrow
</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</si>
  <si>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</si>
  <si>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</si>
  <si>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To find the minimum amount it rained on the fourth day, we need to calculate the total amount of rain collected in the area and subtract the amount drained.
First, let's convert the capacity of the area from feet to inches: 6 feet *</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</si>
  <si>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</si>
  <si>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</si>
  <si>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To find out how much the husband needs to pay, we first need to calculate the total amount the couple needs to pay for the house help's medical expenses.
The couple decided to pay half of the medical expenses, which is $128 / 2 = $64.
The husband paid for the entire half, so he paid $64.
Now, the remaining amount to be deducted from the house help's salary is also $64. 
The house help's salary is $160, so after deducting $64, she will be left with $1</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</si>
  <si>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</si>
  <si>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</si>
  <si>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 Calculating Total Earnings
To find the total earnings, we need to calculate the earnings from each rooster and add them together.
Earnings from 30-kilogram rooster:</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</si>
  <si>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</si>
  <si>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</si>
  <si>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</si>
  <si>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</si>
  <si>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To find the total gold, first find the gold in the smaller bags: 
2 bags *</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</si>
  <si>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</si>
  <si>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</si>
  <si>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In 10 years, Terry will be 4 times the age that Nora is currently. If Nora is currently 10 years old, how old is Terry now?</t>
  </si>
  <si>
    <t>Terry will be 4*10=&lt;&lt;4*10=40&gt;&gt;40 years old in 10 years
Currently, Terry is 40-10 = &lt;&lt;40-10=30&gt;&gt;30 years old.
#### 30</t>
  </si>
  <si>
    <t>## Step 1: Determine Nora's current age
Nora is currently 1years old.
## Step 2: Calculate Terry's age in 10 years
In 10 years, Terry will be 4 times Nora's current age. Since Nora is 10 years old, Terry will be 4 *</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</si>
  <si>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</si>
  <si>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</si>
  <si>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</si>
  <si>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</si>
  <si>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</si>
  <si>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</si>
  <si>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find out how many miles Macy has left to run, we need to first calculate how many miles she has run in 6 days.
Macy runs 3 miles per day, so in 6 days, she runs:</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</si>
  <si>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</si>
  <si>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</si>
  <si>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</si>
  <si>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</si>
  <si>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 4320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</si>
  <si>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</si>
  <si>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</si>
  <si>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find out how long it will take Lee to save for the ring, we need to calculate the total amount he needs to save and then divide it by his monthly savings.
Two months' salary is</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</si>
  <si>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</si>
  <si>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</si>
  <si>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To find the total number of records Jerry can hold, we need to multiply the number of cases, shelves, and records each shelf can hold.
Number of cases: 4
Number of shelves per case: 3
Records per shelf: 20
Total records =</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</si>
  <si>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</si>
  <si>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</si>
  <si>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To find the total time, we need to calculate the time for each task and add them together.
The cat has 4 feet, and each foot has 4 claws, so the total number of claws is 4 x 4 = 16.
Time to clip nails: 1</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</si>
  <si>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</si>
  <si>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</si>
  <si>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 Step 1: Calculate Curry's points
Curry earned twice the points as Draymond, and Draymond earned 12 points. So, Curry earned 2 *</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</si>
  <si>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</si>
  <si>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</si>
  <si>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</si>
  <si>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</si>
  <si>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</si>
  <si>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 xml:space="preserve">To find the total number of students that can partner, we need to add the number of males and females from each class.
Males: </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</si>
  <si>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</si>
  <si>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</si>
  <si>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</si>
  <si>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</si>
  <si>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To find the number of aprons Heather sewed today, we multiply the number she sewed initially by 3:</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</si>
  <si>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</si>
  <si>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</si>
  <si>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 xml:space="preserve">To find the average height of the trees, we need to find the total height of all the trees and divide it by the number of trees.
The first tree was </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</si>
  <si>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</si>
  <si>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</si>
  <si>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 Step 1: Calculate the total number of matchsticks used by Michael.
Since Michael created 30 matchstick houses and each house uses</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</si>
  <si>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</si>
  <si>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</si>
  <si>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</si>
  <si>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</si>
  <si>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 Step 1: Calculate the amount saved in the first month
Alice saved</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</si>
  <si>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</si>
  <si>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</si>
  <si>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 160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</si>
  <si>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</si>
  <si>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</si>
  <si>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To solve this problem, we need to calculate the number of tabs remaining after each step.
Initially, Jose had</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</si>
  <si>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</si>
  <si>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</si>
  <si>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</si>
  <si>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</si>
  <si>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 1600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</si>
  <si>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</si>
  <si>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</si>
  <si>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 Step 1: Calculate the points of the winning team in the first quarter
Since the losing team had 10 points in the first quarter and the winning team had double the points of the losing team, the winning team had 10 *</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</si>
  <si>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</si>
  <si>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</si>
  <si>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To find the total time it will take to cut all the strands, we need to add the rates at which Hannah and her son can cut the strands.
Hannah's rate: 8 strands/minute
Son's rate: 3 strands/minute
Combined rate: 8 +</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</si>
  <si>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</si>
  <si>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</si>
  <si>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 xml:space="preserve">To find the total earnings, we need to calculate the earnings for weekdays and weekends separately.
Weekday earnings: 
</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</si>
  <si>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</si>
  <si>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</si>
  <si>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 55</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</si>
  <si>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</si>
  <si>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</si>
  <si>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</si>
  <si>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</si>
  <si>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 1038</t>
  </si>
  <si>
    <t>John buys 20 candy bars.  His brother Dave pays for 6 of them.  If each candy bar costs $1.50, how much did John pay?</t>
  </si>
  <si>
    <t>He paid for 20-6=&lt;&lt;20-6=14&gt;&gt;14 candy bars
So he paid 14*1.5=$&lt;&lt;14*1.5=21&gt;&gt;21
#### 21</t>
  </si>
  <si>
    <t>#### 27.00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</si>
  <si>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</si>
  <si>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</si>
  <si>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 351</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</si>
  <si>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</si>
  <si>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</si>
  <si>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 120000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</si>
  <si>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</si>
  <si>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</si>
  <si>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 40 + 30 + 2x = 110
#### 70 + 2x = 110
#### 2x = 40
#### x = 20</t>
  </si>
  <si>
    <t>Super Clean Car Wash Company cleans 80 cars per day. They make $5 per car washed. How much money will they make in 5 days?</t>
  </si>
  <si>
    <t>Each day they will make 80 × $5 = $&lt;&lt;80*5=400&gt;&gt;400.
They will make $400 × 5 = $&lt;&lt;400*5=2000&gt;&gt;2000 in 5 days.
####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</si>
  <si>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</si>
  <si>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</si>
  <si>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 36</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</si>
  <si>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</si>
  <si>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</si>
  <si>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To solve this problem, we need to find out how many candies Shelly had originally. 
Let's say Shelly had x candies originally. After eating 20 candies, she had 5 candies left. So, we can set up the equation:
x - 20 = 5
Solving for x, we get:
x = 7
Now, Shelly's friend brings twice as much candy as she originally had, which is 2x = 2(70) =</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</si>
  <si>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</si>
  <si>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</si>
  <si>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 420</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</si>
  <si>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</si>
  <si>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</si>
  <si>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 31</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</si>
  <si>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</si>
  <si>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</si>
  <si>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</si>
  <si>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</si>
  <si>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</si>
  <si>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</si>
  <si>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 5 * 15 * 60 =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</si>
  <si>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</si>
  <si>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</si>
  <si>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 Calculating the Total Number of Push-Ups
To find the total number of push-ups Bryan did, we need to calculate the number of push-ups in each set and then add them together.
## Step 1: Calculate the number of push-ups in the first two sets
Bryan did 15 push-ups in each of the first two sets, so the total number of push-ups in these two sets is:</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</si>
  <si>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</si>
  <si>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</si>
  <si>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 Step 1: Calculate the total amount earned from mowing lawns
Lee charges $33 per lawn, and he mowed</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</si>
  <si>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</si>
  <si>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</si>
  <si>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 Step 1: Calculate the total number of fruits in the first three baskets.
The first three baskets contain 9 apples, 1</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</si>
  <si>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</si>
  <si>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</si>
  <si>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  1250 + (0.1 * 23600) = 2500
#### 2500 * 0.8 = 2000</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</si>
  <si>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</si>
  <si>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</si>
  <si>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Justin can run 2 blocks in 1.5 minutes. If he is 8 blocks from home, in how many minutes can he run home?</t>
  </si>
  <si>
    <t>There are 8/2 = &lt;&lt;8/2=4&gt;&gt;4 sets of two blocks that Justin can run.
Thus, he can run home for 4 x 1.5 = &lt;&lt;4*1.5=6&gt;&gt;6 minutes.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</si>
  <si>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</si>
  <si>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</si>
  <si>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 90 / 6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</si>
  <si>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</si>
  <si>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</si>
  <si>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</si>
  <si>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</si>
  <si>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 950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</si>
  <si>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</si>
  <si>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</si>
  <si>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 300 * 2 * 7 * 7 = 29400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</si>
  <si>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</si>
  <si>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</si>
  <si>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 Step 1: Calculate the number of minutes Matt worked on Monday
Matt worked for 450 minutes on Monday.
## Step 2: Calculate the number of minutes Matt worked on Tuesday
Matt worked half the number of minutes he worked on Monday, so he worked 450 / 2 = 225 minutes on Tuesday.
## Step 3: Calculate the difference in minutes between Wednesday and Tuesday
Matt worked 300 minutes on Wednesday. To find the difference, subtract the minutes worked on Tuesday from the minutes worked on Wednesday: 300 - 225 =</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</si>
  <si>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</si>
  <si>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</si>
  <si>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 Step 1: Calculate the total number of cookies made
Danny made 4 dozen cookies, which is equivalent to 4 * 12 =</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</si>
  <si>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</si>
  <si>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</si>
  <si>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</si>
  <si>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</si>
  <si>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 Step 1: Calculate the number of times the swan population doubles in 10 years
Since the population doubles every 2 years, in 10 years, it will double 10 /</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</si>
  <si>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</si>
  <si>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</si>
  <si>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</si>
  <si>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</si>
  <si>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 Step 1: Calculate the distance from Talia's house to the park
The distance from Talia's house to the park is given as 5 miles.
## Step 2: Calculate the distance from the park to the grocery store
The distance from the park to the grocery store is given as 3 miles.
## Step 3: Calculate the distance from the grocery store to Talia's house
The distance from the grocery store to Talia's house is given as 8 miles.
## Step 4: Calculate the total distance driven by Talia
To find the total distance driven by Talia, we need to add the distances calculated in steps 1, 2, and 3. Since she starts and ends at her house, we need to add the distance from her house to the park, from the park to the grocery store, and from the grocery store back to her house.
Total distance = Distance from house to park + Distance from park to grocery store + Distance from grocery store to house
Total distance = 5 miles + 3 miles + 8 miles
Total distance = 16 miles
The final answer is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</si>
  <si>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</si>
  <si>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</si>
  <si>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</si>
  <si>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</si>
  <si>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To find the total number of days the duck is flying, we need to add the days for each season.
- Winter: 40 days
- Summer: 2 * 40 = 80 days
- Spring: 60 days
Total days =</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</si>
  <si>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</si>
  <si>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</si>
  <si>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correct?</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</si>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</sst>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E+00"/>
    <numFmt numFmtId="165" formatCode="0.000E+00"/>
    <numFmt numFmtId="166" formatCode="0.00000E+00"/>
    <numFmt numFmtId="167" formatCode="0.0E+00"/>
  </numFmts>
  <fonts count="5" x14ac:knownFonts="1">
    <font>
      <sz val="10"/>
      <color indexed="8"/>
      <name val="Helvetica Neue"/>
    </font>
    <font>
      <sz val="12"/>
      <color indexed="8"/>
      <name val="Helvetica Neue"/>
      <family val="2"/>
    </font>
    <font>
      <b/>
      <sz val="10"/>
      <color indexed="8"/>
      <name val="Helvetica Neue"/>
      <family val="2"/>
    </font>
    <font>
      <b/>
      <sz val="12"/>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0" fontId="1" fillId="0" borderId="0" xfId="0" applyNumberFormat="1" applyFont="1" applyAlignment="1">
      <alignment vertical="top"/>
    </xf>
    <xf numFmtId="49" fontId="3"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1" fontId="0" fillId="0" borderId="4" xfId="0" applyNumberFormat="1" applyBorder="1" applyAlignment="1">
      <alignment horizontal="center" vertical="center" wrapText="1"/>
    </xf>
    <xf numFmtId="0" fontId="2"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65" fontId="0" fillId="0" borderId="7" xfId="0" applyNumberFormat="1" applyBorder="1" applyAlignment="1">
      <alignment horizontal="center" vertical="center" wrapText="1"/>
    </xf>
    <xf numFmtId="166" fontId="0" fillId="0" borderId="7" xfId="0" applyNumberFormat="1" applyBorder="1" applyAlignment="1">
      <alignment horizontal="center" vertical="center" wrapText="1"/>
    </xf>
    <xf numFmtId="167" fontId="0" fillId="0" borderId="7" xfId="0" applyNumberFormat="1" applyBorder="1" applyAlignment="1">
      <alignment horizontal="center" vertical="center" wrapText="1"/>
    </xf>
    <xf numFmtId="0" fontId="1" fillId="0" borderId="0" xfId="0" applyFont="1" applyAlignment="1">
      <alignment horizontal="center" vertical="center"/>
    </xf>
    <xf numFmtId="49" fontId="4" fillId="0" borderId="7" xfId="0" applyNumberFormat="1" applyFont="1" applyBorder="1" applyAlignment="1">
      <alignment horizontal="center" vertical="center" wrapText="1"/>
    </xf>
    <xf numFmtId="0" fontId="3"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showGridLines="0" tabSelected="1" topLeftCell="C499" zoomScale="91" workbookViewId="0">
      <selection activeCell="F504" sqref="F504"/>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10.1640625" style="1" customWidth="1"/>
    <col min="5" max="5" width="19" style="1" customWidth="1"/>
    <col min="6" max="7" width="18.33203125" style="1" customWidth="1"/>
    <col min="8" max="8" width="21.1640625" style="1" customWidth="1"/>
    <col min="9" max="10" width="16.6640625" style="1" customWidth="1"/>
    <col min="11" max="11" width="18.6640625" style="1" customWidth="1"/>
    <col min="12" max="12" width="8.33203125" style="1" customWidth="1"/>
    <col min="13" max="16384" width="8.33203125" style="1"/>
  </cols>
  <sheetData>
    <row r="1" spans="1:11" ht="27.75" customHeight="1" x14ac:dyDescent="0.15">
      <c r="A1" s="19" t="s">
        <v>0</v>
      </c>
      <c r="B1" s="19"/>
      <c r="C1" s="19"/>
      <c r="D1" s="19"/>
      <c r="E1" s="19"/>
      <c r="F1" s="19"/>
      <c r="G1" s="19"/>
      <c r="H1" s="19"/>
      <c r="I1" s="19"/>
      <c r="J1" s="19"/>
      <c r="K1" s="19"/>
    </row>
    <row r="2" spans="1:11" s="2" customFormat="1" ht="30" customHeight="1" x14ac:dyDescent="0.15">
      <c r="A2" s="3" t="s">
        <v>1</v>
      </c>
      <c r="B2" s="3" t="s">
        <v>2</v>
      </c>
      <c r="C2" s="3" t="s">
        <v>3</v>
      </c>
      <c r="D2" s="3" t="s">
        <v>4</v>
      </c>
      <c r="E2" s="3" t="s">
        <v>5</v>
      </c>
      <c r="F2" s="3" t="s">
        <v>6</v>
      </c>
      <c r="G2" s="3" t="s">
        <v>1381</v>
      </c>
      <c r="H2" s="3" t="s">
        <v>7</v>
      </c>
      <c r="I2" s="3" t="s">
        <v>8</v>
      </c>
      <c r="J2" s="3" t="s">
        <v>9</v>
      </c>
      <c r="K2" s="3" t="s">
        <v>10</v>
      </c>
    </row>
    <row r="3" spans="1:11" ht="68.25" customHeight="1" x14ac:dyDescent="0.15">
      <c r="A3" s="4">
        <v>1297</v>
      </c>
      <c r="B3" s="5" t="s">
        <v>11</v>
      </c>
      <c r="C3" s="6" t="s">
        <v>12</v>
      </c>
      <c r="D3" s="6" t="s">
        <v>13</v>
      </c>
      <c r="E3" s="7">
        <v>10</v>
      </c>
      <c r="F3" s="7">
        <v>8</v>
      </c>
      <c r="G3" s="7">
        <f>IF(OR(ISBLANK(E3), ISBLANK(F3)), 0, IF(E3=F3, 1, 0))</f>
        <v>0</v>
      </c>
      <c r="H3" s="7">
        <v>77</v>
      </c>
      <c r="I3" s="7">
        <v>4</v>
      </c>
      <c r="J3" s="7">
        <v>81</v>
      </c>
      <c r="K3" s="8">
        <v>5.1699999999999996E-6</v>
      </c>
    </row>
    <row r="4" spans="1:11" ht="68" customHeight="1" x14ac:dyDescent="0.15">
      <c r="A4" s="9">
        <v>576</v>
      </c>
      <c r="B4" s="10" t="s">
        <v>14</v>
      </c>
      <c r="C4" s="11" t="s">
        <v>15</v>
      </c>
      <c r="D4" s="11" t="s">
        <v>16</v>
      </c>
      <c r="E4" s="12"/>
      <c r="F4" s="13">
        <v>50</v>
      </c>
      <c r="G4" s="7">
        <f t="shared" ref="G4:G67" si="0">IF(OR(ISBLANK(E4), ISBLANK(F4)), 0, IF(E4=F4, 1, 0))</f>
        <v>0</v>
      </c>
      <c r="H4" s="13">
        <v>0</v>
      </c>
      <c r="I4" s="13">
        <v>1</v>
      </c>
      <c r="J4" s="13">
        <v>1</v>
      </c>
      <c r="K4" s="13">
        <v>0</v>
      </c>
    </row>
    <row r="5" spans="1:11" ht="56" customHeight="1" x14ac:dyDescent="0.15">
      <c r="A5" s="9">
        <v>5462</v>
      </c>
      <c r="B5" s="10" t="s">
        <v>17</v>
      </c>
      <c r="C5" s="11" t="s">
        <v>18</v>
      </c>
      <c r="D5" s="11" t="s">
        <v>19</v>
      </c>
      <c r="E5" s="13">
        <v>12</v>
      </c>
      <c r="F5" s="13">
        <v>42</v>
      </c>
      <c r="G5" s="7">
        <f t="shared" si="0"/>
        <v>0</v>
      </c>
      <c r="H5" s="13">
        <v>81</v>
      </c>
      <c r="I5" s="13">
        <v>4</v>
      </c>
      <c r="J5" s="13">
        <v>85</v>
      </c>
      <c r="K5" s="14">
        <v>5.3700000000000003E-6</v>
      </c>
    </row>
    <row r="6" spans="1:11" ht="56" customHeight="1" x14ac:dyDescent="0.15">
      <c r="A6" s="9">
        <v>4336</v>
      </c>
      <c r="B6" s="10" t="s">
        <v>20</v>
      </c>
      <c r="C6" s="11" t="s">
        <v>21</v>
      </c>
      <c r="D6" s="11" t="s">
        <v>22</v>
      </c>
      <c r="E6" s="13">
        <v>150</v>
      </c>
      <c r="F6" s="13">
        <v>90</v>
      </c>
      <c r="G6" s="7">
        <f t="shared" si="0"/>
        <v>0</v>
      </c>
      <c r="H6" s="13">
        <v>62</v>
      </c>
      <c r="I6" s="13">
        <v>4</v>
      </c>
      <c r="J6" s="13">
        <v>66</v>
      </c>
      <c r="K6" s="14">
        <v>4.42E-6</v>
      </c>
    </row>
    <row r="7" spans="1:11" ht="44" customHeight="1" x14ac:dyDescent="0.15">
      <c r="A7" s="9">
        <v>7105</v>
      </c>
      <c r="B7" s="10" t="s">
        <v>23</v>
      </c>
      <c r="C7" s="11" t="s">
        <v>24</v>
      </c>
      <c r="D7" s="11" t="s">
        <v>25</v>
      </c>
      <c r="E7" s="12"/>
      <c r="F7" s="13">
        <v>500</v>
      </c>
      <c r="G7" s="7">
        <f t="shared" si="0"/>
        <v>0</v>
      </c>
      <c r="H7" s="13">
        <v>0</v>
      </c>
      <c r="I7" s="13">
        <v>1</v>
      </c>
      <c r="J7" s="13">
        <v>1</v>
      </c>
      <c r="K7" s="13">
        <v>0</v>
      </c>
    </row>
    <row r="8" spans="1:11" ht="44" customHeight="1" x14ac:dyDescent="0.15">
      <c r="A8" s="9">
        <v>6808</v>
      </c>
      <c r="B8" s="10" t="s">
        <v>26</v>
      </c>
      <c r="C8" s="11" t="s">
        <v>27</v>
      </c>
      <c r="D8" s="11" t="s">
        <v>28</v>
      </c>
      <c r="E8" s="12"/>
      <c r="F8" s="13">
        <v>600</v>
      </c>
      <c r="G8" s="7">
        <f t="shared" si="0"/>
        <v>0</v>
      </c>
      <c r="H8" s="13">
        <v>0</v>
      </c>
      <c r="I8" s="13">
        <v>1</v>
      </c>
      <c r="J8" s="13">
        <v>1</v>
      </c>
      <c r="K8" s="13">
        <v>0</v>
      </c>
    </row>
    <row r="9" spans="1:11" ht="104" customHeight="1" x14ac:dyDescent="0.15">
      <c r="A9" s="9">
        <v>4404</v>
      </c>
      <c r="B9" s="10" t="s">
        <v>29</v>
      </c>
      <c r="C9" s="11" t="s">
        <v>30</v>
      </c>
      <c r="D9" s="11" t="s">
        <v>31</v>
      </c>
      <c r="E9" s="12"/>
      <c r="F9" s="13">
        <v>200</v>
      </c>
      <c r="G9" s="7">
        <f t="shared" si="0"/>
        <v>0</v>
      </c>
      <c r="H9" s="13">
        <v>0</v>
      </c>
      <c r="I9" s="13">
        <v>1</v>
      </c>
      <c r="J9" s="13">
        <v>1</v>
      </c>
      <c r="K9" s="13">
        <v>0</v>
      </c>
    </row>
    <row r="10" spans="1:11" ht="44" customHeight="1" x14ac:dyDescent="0.15">
      <c r="A10" s="9">
        <v>1649</v>
      </c>
      <c r="B10" s="10" t="s">
        <v>32</v>
      </c>
      <c r="C10" s="11" t="s">
        <v>33</v>
      </c>
      <c r="D10" s="11" t="s">
        <v>34</v>
      </c>
      <c r="E10" s="13">
        <v>50</v>
      </c>
      <c r="F10" s="13">
        <v>25</v>
      </c>
      <c r="G10" s="7">
        <f t="shared" si="0"/>
        <v>0</v>
      </c>
      <c r="H10" s="13">
        <v>78</v>
      </c>
      <c r="I10" s="13">
        <v>4</v>
      </c>
      <c r="J10" s="13">
        <v>82</v>
      </c>
      <c r="K10" s="14">
        <v>5.22E-6</v>
      </c>
    </row>
    <row r="11" spans="1:11" ht="44" customHeight="1" x14ac:dyDescent="0.15">
      <c r="A11" s="9">
        <v>5958</v>
      </c>
      <c r="B11" s="10" t="s">
        <v>35</v>
      </c>
      <c r="C11" s="11" t="s">
        <v>36</v>
      </c>
      <c r="D11" s="11" t="s">
        <v>37</v>
      </c>
      <c r="E11" s="13">
        <v>450</v>
      </c>
      <c r="F11" s="13">
        <v>900</v>
      </c>
      <c r="G11" s="7">
        <f t="shared" si="0"/>
        <v>0</v>
      </c>
      <c r="H11" s="13">
        <v>148</v>
      </c>
      <c r="I11" s="13">
        <v>4</v>
      </c>
      <c r="J11" s="13">
        <v>152</v>
      </c>
      <c r="K11" s="15">
        <v>8.8732E-6</v>
      </c>
    </row>
    <row r="12" spans="1:11" ht="68" customHeight="1" x14ac:dyDescent="0.15">
      <c r="A12" s="9">
        <v>6366</v>
      </c>
      <c r="B12" s="10" t="s">
        <v>38</v>
      </c>
      <c r="C12" s="11" t="s">
        <v>39</v>
      </c>
      <c r="D12" s="11" t="s">
        <v>40</v>
      </c>
      <c r="E12" s="12"/>
      <c r="F12" s="13">
        <v>54</v>
      </c>
      <c r="G12" s="7">
        <f t="shared" si="0"/>
        <v>0</v>
      </c>
      <c r="H12" s="13">
        <v>0</v>
      </c>
      <c r="I12" s="13">
        <v>1</v>
      </c>
      <c r="J12" s="13">
        <v>1</v>
      </c>
      <c r="K12" s="13">
        <v>0</v>
      </c>
    </row>
    <row r="13" spans="1:11" ht="44" customHeight="1" x14ac:dyDescent="0.15">
      <c r="A13" s="9">
        <v>3463</v>
      </c>
      <c r="B13" s="10" t="s">
        <v>41</v>
      </c>
      <c r="C13" s="11" t="s">
        <v>42</v>
      </c>
      <c r="D13" s="11" t="s">
        <v>43</v>
      </c>
      <c r="E13" s="13">
        <v>35</v>
      </c>
      <c r="F13" s="13">
        <v>70</v>
      </c>
      <c r="G13" s="7">
        <f t="shared" si="0"/>
        <v>0</v>
      </c>
      <c r="H13" s="13">
        <v>102</v>
      </c>
      <c r="I13" s="13">
        <v>4</v>
      </c>
      <c r="J13" s="13">
        <v>106</v>
      </c>
      <c r="K13" s="15">
        <v>6.5317999999999999E-6</v>
      </c>
    </row>
    <row r="14" spans="1:11" ht="44" customHeight="1" x14ac:dyDescent="0.15">
      <c r="A14" s="9">
        <v>1669</v>
      </c>
      <c r="B14" s="10" t="s">
        <v>44</v>
      </c>
      <c r="C14" s="11" t="s">
        <v>45</v>
      </c>
      <c r="D14" s="11" t="s">
        <v>46</v>
      </c>
      <c r="E14" s="13">
        <v>104</v>
      </c>
      <c r="F14" s="13">
        <v>104</v>
      </c>
      <c r="G14" s="7">
        <f t="shared" si="0"/>
        <v>1</v>
      </c>
      <c r="H14" s="13">
        <v>59</v>
      </c>
      <c r="I14" s="13">
        <v>4</v>
      </c>
      <c r="J14" s="13">
        <v>63</v>
      </c>
      <c r="K14" s="14">
        <v>4.2699999999999998E-6</v>
      </c>
    </row>
    <row r="15" spans="1:11" ht="56" customHeight="1" x14ac:dyDescent="0.15">
      <c r="A15" s="9">
        <v>4032</v>
      </c>
      <c r="B15" s="10" t="s">
        <v>47</v>
      </c>
      <c r="C15" s="11" t="s">
        <v>48</v>
      </c>
      <c r="D15" s="11" t="s">
        <v>43</v>
      </c>
      <c r="E15" s="13">
        <v>35</v>
      </c>
      <c r="F15" s="13">
        <v>21</v>
      </c>
      <c r="G15" s="7">
        <f t="shared" si="0"/>
        <v>0</v>
      </c>
      <c r="H15" s="13">
        <v>86</v>
      </c>
      <c r="I15" s="13">
        <v>4</v>
      </c>
      <c r="J15" s="13">
        <v>90</v>
      </c>
      <c r="K15" s="14">
        <v>5.6200000000000004E-6</v>
      </c>
    </row>
    <row r="16" spans="1:11" ht="44" customHeight="1" x14ac:dyDescent="0.15">
      <c r="A16" s="9">
        <v>5196</v>
      </c>
      <c r="B16" s="10" t="s">
        <v>49</v>
      </c>
      <c r="C16" s="11" t="s">
        <v>50</v>
      </c>
      <c r="D16" s="11" t="s">
        <v>51</v>
      </c>
      <c r="E16" s="13">
        <v>18</v>
      </c>
      <c r="F16" s="13">
        <v>18</v>
      </c>
      <c r="G16" s="7">
        <f t="shared" si="0"/>
        <v>1</v>
      </c>
      <c r="H16" s="13">
        <v>75</v>
      </c>
      <c r="I16" s="13">
        <v>4</v>
      </c>
      <c r="J16" s="13">
        <v>79</v>
      </c>
      <c r="K16" s="14">
        <v>5.0699999999999997E-6</v>
      </c>
    </row>
    <row r="17" spans="1:11" ht="44" customHeight="1" x14ac:dyDescent="0.15">
      <c r="A17" s="9">
        <v>1025</v>
      </c>
      <c r="B17" s="10" t="s">
        <v>52</v>
      </c>
      <c r="C17" s="11" t="s">
        <v>53</v>
      </c>
      <c r="D17" s="11" t="s">
        <v>54</v>
      </c>
      <c r="E17" s="13">
        <v>560</v>
      </c>
      <c r="F17" s="13">
        <v>640</v>
      </c>
      <c r="G17" s="7">
        <f t="shared" si="0"/>
        <v>0</v>
      </c>
      <c r="H17" s="13">
        <v>65</v>
      </c>
      <c r="I17" s="13">
        <v>4</v>
      </c>
      <c r="J17" s="13">
        <v>69</v>
      </c>
      <c r="K17" s="14">
        <v>4.5700000000000003E-6</v>
      </c>
    </row>
    <row r="18" spans="1:11" ht="68" customHeight="1" x14ac:dyDescent="0.15">
      <c r="A18" s="9">
        <v>5833</v>
      </c>
      <c r="B18" s="10" t="s">
        <v>55</v>
      </c>
      <c r="C18" s="11" t="s">
        <v>56</v>
      </c>
      <c r="D18" s="11" t="s">
        <v>57</v>
      </c>
      <c r="E18" s="12">
        <v>51</v>
      </c>
      <c r="F18" s="13">
        <v>51</v>
      </c>
      <c r="G18" s="7">
        <f t="shared" si="0"/>
        <v>1</v>
      </c>
      <c r="H18" s="13">
        <v>81</v>
      </c>
      <c r="I18" s="13">
        <v>28</v>
      </c>
      <c r="J18" s="13">
        <v>109</v>
      </c>
      <c r="K18" s="16">
        <v>1.329E-5</v>
      </c>
    </row>
    <row r="19" spans="1:11" ht="44" customHeight="1" x14ac:dyDescent="0.15">
      <c r="A19" s="9">
        <v>4728</v>
      </c>
      <c r="B19" s="10" t="s">
        <v>58</v>
      </c>
      <c r="C19" s="11" t="s">
        <v>59</v>
      </c>
      <c r="D19" s="11" t="s">
        <v>60</v>
      </c>
      <c r="E19" s="12"/>
      <c r="F19" s="13">
        <v>10000</v>
      </c>
      <c r="G19" s="7">
        <f t="shared" si="0"/>
        <v>0</v>
      </c>
      <c r="H19" s="13">
        <v>119</v>
      </c>
      <c r="I19" s="13">
        <v>6</v>
      </c>
      <c r="J19" s="13">
        <v>125</v>
      </c>
      <c r="K19" s="15">
        <v>8.0670999999999994E-6</v>
      </c>
    </row>
    <row r="20" spans="1:11" ht="44" customHeight="1" x14ac:dyDescent="0.15">
      <c r="A20" s="9">
        <v>1055</v>
      </c>
      <c r="B20" s="10" t="s">
        <v>61</v>
      </c>
      <c r="C20" s="11" t="s">
        <v>62</v>
      </c>
      <c r="D20" s="11" t="s">
        <v>63</v>
      </c>
      <c r="E20" s="12"/>
      <c r="F20" s="13">
        <v>3500000</v>
      </c>
      <c r="G20" s="7">
        <f t="shared" si="0"/>
        <v>0</v>
      </c>
      <c r="H20" s="13">
        <v>0</v>
      </c>
      <c r="I20" s="13">
        <v>1</v>
      </c>
      <c r="J20" s="13">
        <v>1</v>
      </c>
      <c r="K20" s="13">
        <v>0</v>
      </c>
    </row>
    <row r="21" spans="1:11" ht="80" customHeight="1" x14ac:dyDescent="0.15">
      <c r="A21" s="9">
        <v>3481</v>
      </c>
      <c r="B21" s="10" t="s">
        <v>64</v>
      </c>
      <c r="C21" s="11" t="s">
        <v>65</v>
      </c>
      <c r="D21" s="11" t="s">
        <v>66</v>
      </c>
      <c r="E21" s="12"/>
      <c r="F21" s="13">
        <v>300</v>
      </c>
      <c r="G21" s="7">
        <f t="shared" si="0"/>
        <v>0</v>
      </c>
      <c r="H21" s="13">
        <v>0</v>
      </c>
      <c r="I21" s="13">
        <v>1</v>
      </c>
      <c r="J21" s="13">
        <v>1</v>
      </c>
      <c r="K21" s="13">
        <v>0</v>
      </c>
    </row>
    <row r="22" spans="1:11" ht="92" customHeight="1" x14ac:dyDescent="0.15">
      <c r="A22" s="9">
        <v>5368</v>
      </c>
      <c r="B22" s="10" t="s">
        <v>67</v>
      </c>
      <c r="C22" s="11" t="s">
        <v>68</v>
      </c>
      <c r="D22" s="11" t="s">
        <v>69</v>
      </c>
      <c r="E22" s="12"/>
      <c r="F22" s="13">
        <v>22</v>
      </c>
      <c r="G22" s="7">
        <f t="shared" si="0"/>
        <v>0</v>
      </c>
      <c r="H22" s="13">
        <v>0</v>
      </c>
      <c r="I22" s="13">
        <v>1</v>
      </c>
      <c r="J22" s="13">
        <v>1</v>
      </c>
      <c r="K22" s="13">
        <v>0</v>
      </c>
    </row>
    <row r="23" spans="1:11" ht="92" customHeight="1" x14ac:dyDescent="0.15">
      <c r="A23" s="9">
        <v>2582</v>
      </c>
      <c r="B23" s="10" t="s">
        <v>70</v>
      </c>
      <c r="C23" s="11" t="s">
        <v>71</v>
      </c>
      <c r="D23" s="11" t="s">
        <v>72</v>
      </c>
      <c r="E23" s="13">
        <v>28</v>
      </c>
      <c r="F23" s="13">
        <v>20</v>
      </c>
      <c r="G23" s="7">
        <f t="shared" si="0"/>
        <v>0</v>
      </c>
      <c r="H23" s="13">
        <v>85</v>
      </c>
      <c r="I23" s="13">
        <v>4</v>
      </c>
      <c r="J23" s="13">
        <v>89</v>
      </c>
      <c r="K23" s="14">
        <v>5.57E-6</v>
      </c>
    </row>
    <row r="24" spans="1:11" ht="68" customHeight="1" x14ac:dyDescent="0.15">
      <c r="A24" s="9">
        <v>1034</v>
      </c>
      <c r="B24" s="10" t="s">
        <v>73</v>
      </c>
      <c r="C24" s="11" t="s">
        <v>74</v>
      </c>
      <c r="D24" s="11" t="s">
        <v>75</v>
      </c>
      <c r="E24" s="13">
        <v>4</v>
      </c>
      <c r="F24" s="13">
        <v>8</v>
      </c>
      <c r="G24" s="7">
        <f t="shared" si="0"/>
        <v>0</v>
      </c>
      <c r="H24" s="13">
        <v>102</v>
      </c>
      <c r="I24" s="13">
        <v>4</v>
      </c>
      <c r="J24" s="13">
        <v>106</v>
      </c>
      <c r="K24" s="14">
        <v>6.4200000000000004E-6</v>
      </c>
    </row>
    <row r="25" spans="1:11" ht="56" customHeight="1" x14ac:dyDescent="0.15">
      <c r="A25" s="9">
        <v>5286</v>
      </c>
      <c r="B25" s="10" t="s">
        <v>76</v>
      </c>
      <c r="C25" s="11" t="s">
        <v>77</v>
      </c>
      <c r="D25" s="11" t="s">
        <v>78</v>
      </c>
      <c r="E25" s="12"/>
      <c r="F25" s="13">
        <v>33</v>
      </c>
      <c r="G25" s="7">
        <f t="shared" si="0"/>
        <v>0</v>
      </c>
      <c r="H25" s="13">
        <v>0</v>
      </c>
      <c r="I25" s="13">
        <v>1</v>
      </c>
      <c r="J25" s="13">
        <v>1</v>
      </c>
      <c r="K25" s="13">
        <v>0</v>
      </c>
    </row>
    <row r="26" spans="1:11" ht="56" customHeight="1" x14ac:dyDescent="0.15">
      <c r="A26" s="9">
        <v>2226</v>
      </c>
      <c r="B26" s="10" t="s">
        <v>79</v>
      </c>
      <c r="C26" s="11" t="s">
        <v>80</v>
      </c>
      <c r="D26" s="11" t="s">
        <v>81</v>
      </c>
      <c r="E26" s="13">
        <v>6</v>
      </c>
      <c r="F26" s="13">
        <v>3</v>
      </c>
      <c r="G26" s="7">
        <f t="shared" si="0"/>
        <v>0</v>
      </c>
      <c r="H26" s="13">
        <v>91</v>
      </c>
      <c r="I26" s="13">
        <v>4</v>
      </c>
      <c r="J26" s="13">
        <v>95</v>
      </c>
      <c r="K26" s="14">
        <v>5.8699999999999997E-6</v>
      </c>
    </row>
    <row r="27" spans="1:11" ht="92" customHeight="1" x14ac:dyDescent="0.15">
      <c r="A27" s="9">
        <v>4240</v>
      </c>
      <c r="B27" s="10" t="s">
        <v>82</v>
      </c>
      <c r="C27" s="11" t="s">
        <v>83</v>
      </c>
      <c r="D27" s="11" t="s">
        <v>84</v>
      </c>
      <c r="E27" s="13">
        <v>44</v>
      </c>
      <c r="F27" s="13">
        <v>47</v>
      </c>
      <c r="G27" s="7">
        <f t="shared" si="0"/>
        <v>0</v>
      </c>
      <c r="H27" s="13">
        <v>73</v>
      </c>
      <c r="I27" s="13">
        <v>4</v>
      </c>
      <c r="J27" s="13">
        <v>77</v>
      </c>
      <c r="K27" s="14">
        <v>4.9699999999999998E-6</v>
      </c>
    </row>
    <row r="28" spans="1:11" ht="44" customHeight="1" x14ac:dyDescent="0.15">
      <c r="A28" s="9">
        <v>2126</v>
      </c>
      <c r="B28" s="10" t="s">
        <v>85</v>
      </c>
      <c r="C28" s="11" t="s">
        <v>86</v>
      </c>
      <c r="D28" s="11" t="s">
        <v>87</v>
      </c>
      <c r="E28" s="13">
        <v>500</v>
      </c>
      <c r="F28" s="13">
        <v>490</v>
      </c>
      <c r="G28" s="7">
        <f t="shared" si="0"/>
        <v>0</v>
      </c>
      <c r="H28" s="13">
        <v>61</v>
      </c>
      <c r="I28" s="13">
        <v>4</v>
      </c>
      <c r="J28" s="13">
        <v>65</v>
      </c>
      <c r="K28" s="14">
        <v>4.3699999999999997E-6</v>
      </c>
    </row>
    <row r="29" spans="1:11" ht="104" customHeight="1" x14ac:dyDescent="0.15">
      <c r="A29" s="9">
        <v>5897</v>
      </c>
      <c r="B29" s="10" t="s">
        <v>88</v>
      </c>
      <c r="C29" s="11" t="s">
        <v>89</v>
      </c>
      <c r="D29" s="11" t="s">
        <v>90</v>
      </c>
      <c r="E29" s="13">
        <v>181</v>
      </c>
      <c r="F29" s="13">
        <v>196</v>
      </c>
      <c r="G29" s="7">
        <f t="shared" si="0"/>
        <v>0</v>
      </c>
      <c r="H29" s="13">
        <v>127</v>
      </c>
      <c r="I29" s="13">
        <v>4</v>
      </c>
      <c r="J29" s="13">
        <v>131</v>
      </c>
      <c r="K29" s="14">
        <v>7.6699999999999994E-6</v>
      </c>
    </row>
    <row r="30" spans="1:11" ht="44" customHeight="1" x14ac:dyDescent="0.15">
      <c r="A30" s="9">
        <v>101</v>
      </c>
      <c r="B30" s="10" t="s">
        <v>91</v>
      </c>
      <c r="C30" s="11" t="s">
        <v>92</v>
      </c>
      <c r="D30" s="11" t="s">
        <v>51</v>
      </c>
      <c r="E30" s="13">
        <v>18</v>
      </c>
      <c r="F30" s="13">
        <v>36</v>
      </c>
      <c r="G30" s="7">
        <f t="shared" si="0"/>
        <v>0</v>
      </c>
      <c r="H30" s="13">
        <v>135</v>
      </c>
      <c r="I30" s="13">
        <v>4</v>
      </c>
      <c r="J30" s="13">
        <v>139</v>
      </c>
      <c r="K30" s="14">
        <v>8.0700000000000007E-6</v>
      </c>
    </row>
    <row r="31" spans="1:11" ht="104" customHeight="1" x14ac:dyDescent="0.15">
      <c r="A31" s="9">
        <v>3080</v>
      </c>
      <c r="B31" s="10" t="s">
        <v>93</v>
      </c>
      <c r="C31" s="11" t="s">
        <v>94</v>
      </c>
      <c r="D31" s="20" t="s">
        <v>95</v>
      </c>
      <c r="E31" s="12"/>
      <c r="F31" s="13">
        <v>7</v>
      </c>
      <c r="G31" s="7">
        <f t="shared" si="0"/>
        <v>0</v>
      </c>
      <c r="H31" s="13">
        <v>0</v>
      </c>
      <c r="I31" s="13">
        <v>1</v>
      </c>
      <c r="J31" s="13">
        <v>1</v>
      </c>
      <c r="K31" s="13">
        <v>0</v>
      </c>
    </row>
    <row r="32" spans="1:11" ht="140" customHeight="1" x14ac:dyDescent="0.15">
      <c r="A32" s="9">
        <v>4600</v>
      </c>
      <c r="B32" s="10" t="s">
        <v>96</v>
      </c>
      <c r="C32" s="11" t="s">
        <v>97</v>
      </c>
      <c r="D32" s="11" t="s">
        <v>98</v>
      </c>
      <c r="E32" s="12"/>
      <c r="F32" s="13">
        <v>160</v>
      </c>
      <c r="G32" s="7">
        <f t="shared" si="0"/>
        <v>0</v>
      </c>
      <c r="H32" s="13">
        <v>0</v>
      </c>
      <c r="I32" s="13">
        <v>1</v>
      </c>
      <c r="J32" s="13">
        <v>1</v>
      </c>
      <c r="K32" s="13">
        <v>0</v>
      </c>
    </row>
    <row r="33" spans="1:11" ht="68" customHeight="1" x14ac:dyDescent="0.15">
      <c r="A33" s="9">
        <v>733</v>
      </c>
      <c r="B33" s="10" t="s">
        <v>99</v>
      </c>
      <c r="C33" s="11" t="s">
        <v>100</v>
      </c>
      <c r="D33" s="11" t="s">
        <v>101</v>
      </c>
      <c r="E33" s="13">
        <v>46</v>
      </c>
      <c r="F33" s="13">
        <v>53</v>
      </c>
      <c r="G33" s="7">
        <f t="shared" si="0"/>
        <v>0</v>
      </c>
      <c r="H33" s="13">
        <v>89</v>
      </c>
      <c r="I33" s="13">
        <v>4</v>
      </c>
      <c r="J33" s="13">
        <v>93</v>
      </c>
      <c r="K33" s="14">
        <v>5.7699999999999998E-6</v>
      </c>
    </row>
    <row r="34" spans="1:11" ht="68" customHeight="1" x14ac:dyDescent="0.15">
      <c r="A34" s="9">
        <v>5091</v>
      </c>
      <c r="B34" s="10" t="s">
        <v>102</v>
      </c>
      <c r="C34" s="11" t="s">
        <v>103</v>
      </c>
      <c r="D34" s="11" t="s">
        <v>104</v>
      </c>
      <c r="E34" s="13">
        <v>9</v>
      </c>
      <c r="F34" s="13">
        <v>21</v>
      </c>
      <c r="G34" s="7">
        <f t="shared" si="0"/>
        <v>0</v>
      </c>
      <c r="H34" s="13">
        <v>137</v>
      </c>
      <c r="I34" s="13">
        <v>4</v>
      </c>
      <c r="J34" s="13">
        <v>141</v>
      </c>
      <c r="K34" s="15">
        <v>8.3133000000000005E-6</v>
      </c>
    </row>
    <row r="35" spans="1:11" ht="80" customHeight="1" x14ac:dyDescent="0.15">
      <c r="A35" s="9">
        <v>5707</v>
      </c>
      <c r="B35" s="10" t="s">
        <v>105</v>
      </c>
      <c r="C35" s="11" t="s">
        <v>106</v>
      </c>
      <c r="D35" s="11" t="s">
        <v>107</v>
      </c>
      <c r="E35" s="12"/>
      <c r="F35" s="13">
        <v>2</v>
      </c>
      <c r="G35" s="7">
        <f t="shared" si="0"/>
        <v>0</v>
      </c>
      <c r="H35" s="13">
        <v>0</v>
      </c>
      <c r="I35" s="13">
        <v>1</v>
      </c>
      <c r="J35" s="13">
        <v>1</v>
      </c>
      <c r="K35" s="13">
        <v>0</v>
      </c>
    </row>
    <row r="36" spans="1:11" ht="56" customHeight="1" x14ac:dyDescent="0.15">
      <c r="A36" s="9">
        <v>5007</v>
      </c>
      <c r="B36" s="10" t="s">
        <v>108</v>
      </c>
      <c r="C36" s="11" t="s">
        <v>109</v>
      </c>
      <c r="D36" s="11" t="s">
        <v>110</v>
      </c>
      <c r="E36" s="13">
        <v>48</v>
      </c>
      <c r="F36" s="13">
        <v>33</v>
      </c>
      <c r="G36" s="7">
        <f t="shared" si="0"/>
        <v>0</v>
      </c>
      <c r="H36" s="13">
        <v>71</v>
      </c>
      <c r="I36" s="13">
        <v>4</v>
      </c>
      <c r="J36" s="13">
        <v>75</v>
      </c>
      <c r="K36" s="14">
        <v>4.87E-6</v>
      </c>
    </row>
    <row r="37" spans="1:11" ht="44" customHeight="1" x14ac:dyDescent="0.15">
      <c r="A37" s="9">
        <v>957</v>
      </c>
      <c r="B37" s="10" t="s">
        <v>111</v>
      </c>
      <c r="C37" s="11" t="s">
        <v>112</v>
      </c>
      <c r="D37" s="11" t="s">
        <v>113</v>
      </c>
      <c r="E37" s="13">
        <v>180</v>
      </c>
      <c r="F37" s="13">
        <v>240</v>
      </c>
      <c r="G37" s="7">
        <f t="shared" si="0"/>
        <v>0</v>
      </c>
      <c r="H37" s="13">
        <v>78</v>
      </c>
      <c r="I37" s="13">
        <v>4</v>
      </c>
      <c r="J37" s="13">
        <v>82</v>
      </c>
      <c r="K37" s="14">
        <v>5.22E-6</v>
      </c>
    </row>
    <row r="38" spans="1:11" ht="80" customHeight="1" x14ac:dyDescent="0.15">
      <c r="A38" s="9">
        <v>3018</v>
      </c>
      <c r="B38" s="10" t="s">
        <v>114</v>
      </c>
      <c r="C38" s="11" t="s">
        <v>115</v>
      </c>
      <c r="D38" s="11" t="s">
        <v>116</v>
      </c>
      <c r="E38" s="13">
        <v>56</v>
      </c>
      <c r="F38" s="13">
        <v>160</v>
      </c>
      <c r="G38" s="7">
        <f t="shared" si="0"/>
        <v>0</v>
      </c>
      <c r="H38" s="13">
        <v>98</v>
      </c>
      <c r="I38" s="13">
        <v>4</v>
      </c>
      <c r="J38" s="13">
        <v>102</v>
      </c>
      <c r="K38" s="14">
        <v>6.2199999999999997E-6</v>
      </c>
    </row>
    <row r="39" spans="1:11" ht="68" customHeight="1" x14ac:dyDescent="0.15">
      <c r="A39" s="9">
        <v>4925</v>
      </c>
      <c r="B39" s="10" t="s">
        <v>117</v>
      </c>
      <c r="C39" s="11" t="s">
        <v>118</v>
      </c>
      <c r="D39" s="11" t="s">
        <v>81</v>
      </c>
      <c r="E39" s="13">
        <v>6</v>
      </c>
      <c r="F39" s="13">
        <v>36</v>
      </c>
      <c r="G39" s="7">
        <f t="shared" si="0"/>
        <v>0</v>
      </c>
      <c r="H39" s="13">
        <v>95</v>
      </c>
      <c r="I39" s="13">
        <v>4</v>
      </c>
      <c r="J39" s="13">
        <v>99</v>
      </c>
      <c r="K39" s="14">
        <v>6.0700000000000003E-6</v>
      </c>
    </row>
    <row r="40" spans="1:11" ht="68" customHeight="1" x14ac:dyDescent="0.15">
      <c r="A40" s="9">
        <v>2689</v>
      </c>
      <c r="B40" s="10" t="s">
        <v>119</v>
      </c>
      <c r="C40" s="11" t="s">
        <v>120</v>
      </c>
      <c r="D40" s="11" t="s">
        <v>121</v>
      </c>
      <c r="E40" s="12"/>
      <c r="F40" s="13">
        <v>52</v>
      </c>
      <c r="G40" s="7">
        <f t="shared" si="0"/>
        <v>0</v>
      </c>
      <c r="H40" s="13">
        <v>0</v>
      </c>
      <c r="I40" s="13">
        <v>1</v>
      </c>
      <c r="J40" s="13">
        <v>1</v>
      </c>
      <c r="K40" s="13">
        <v>0</v>
      </c>
    </row>
    <row r="41" spans="1:11" ht="80" customHeight="1" x14ac:dyDescent="0.15">
      <c r="A41" s="9">
        <v>4597</v>
      </c>
      <c r="B41" s="10" t="s">
        <v>122</v>
      </c>
      <c r="C41" s="11" t="s">
        <v>123</v>
      </c>
      <c r="D41" s="11" t="s">
        <v>124</v>
      </c>
      <c r="E41" s="13">
        <v>100</v>
      </c>
      <c r="F41" s="13">
        <v>700</v>
      </c>
      <c r="G41" s="7">
        <f t="shared" si="0"/>
        <v>0</v>
      </c>
      <c r="H41" s="13">
        <v>94</v>
      </c>
      <c r="I41" s="13">
        <v>4</v>
      </c>
      <c r="J41" s="13">
        <v>98</v>
      </c>
      <c r="K41" s="14">
        <v>6.02E-6</v>
      </c>
    </row>
    <row r="42" spans="1:11" ht="68" customHeight="1" x14ac:dyDescent="0.15">
      <c r="A42" s="9">
        <v>2638</v>
      </c>
      <c r="B42" s="10" t="s">
        <v>125</v>
      </c>
      <c r="C42" s="11" t="s">
        <v>126</v>
      </c>
      <c r="D42" s="11" t="s">
        <v>127</v>
      </c>
      <c r="E42" s="12"/>
      <c r="F42" s="13">
        <v>125</v>
      </c>
      <c r="G42" s="7">
        <f t="shared" si="0"/>
        <v>0</v>
      </c>
      <c r="H42" s="13">
        <v>0</v>
      </c>
      <c r="I42" s="13">
        <v>1</v>
      </c>
      <c r="J42" s="13">
        <v>1</v>
      </c>
      <c r="K42" s="13">
        <v>0</v>
      </c>
    </row>
    <row r="43" spans="1:11" ht="56" customHeight="1" x14ac:dyDescent="0.15">
      <c r="A43" s="9">
        <v>6175</v>
      </c>
      <c r="B43" s="10" t="s">
        <v>128</v>
      </c>
      <c r="C43" s="11" t="s">
        <v>129</v>
      </c>
      <c r="D43" s="11" t="s">
        <v>130</v>
      </c>
      <c r="E43" s="13">
        <v>80</v>
      </c>
      <c r="F43" s="13">
        <v>92</v>
      </c>
      <c r="G43" s="7">
        <f>IF(OR(ISBLANK(E43), ISBLANK(F43)), 0, IF(E43=F43, 1, 0))</f>
        <v>0</v>
      </c>
      <c r="H43" s="13">
        <v>66</v>
      </c>
      <c r="I43" s="13">
        <v>4</v>
      </c>
      <c r="J43" s="13">
        <v>70</v>
      </c>
      <c r="K43" s="14">
        <v>4.6199999999999998E-6</v>
      </c>
    </row>
    <row r="44" spans="1:11" ht="56" customHeight="1" x14ac:dyDescent="0.15">
      <c r="A44" s="9">
        <v>5507</v>
      </c>
      <c r="B44" s="10" t="s">
        <v>131</v>
      </c>
      <c r="C44" s="11" t="s">
        <v>132</v>
      </c>
      <c r="D44" s="11" t="s">
        <v>133</v>
      </c>
      <c r="E44" s="13">
        <v>200</v>
      </c>
      <c r="F44" s="13">
        <v>550</v>
      </c>
      <c r="G44" s="7">
        <f t="shared" si="0"/>
        <v>0</v>
      </c>
      <c r="H44" s="13">
        <v>76</v>
      </c>
      <c r="I44" s="13">
        <v>4</v>
      </c>
      <c r="J44" s="13">
        <v>80</v>
      </c>
      <c r="K44" s="14">
        <v>5.1200000000000001E-6</v>
      </c>
    </row>
    <row r="45" spans="1:11" ht="44" customHeight="1" x14ac:dyDescent="0.15">
      <c r="A45" s="9">
        <v>5120</v>
      </c>
      <c r="B45" s="10" t="s">
        <v>134</v>
      </c>
      <c r="C45" s="11" t="s">
        <v>135</v>
      </c>
      <c r="D45" s="11" t="s">
        <v>136</v>
      </c>
      <c r="E45" s="13">
        <v>17</v>
      </c>
      <c r="F45" s="13">
        <v>16</v>
      </c>
      <c r="G45" s="7">
        <f t="shared" si="0"/>
        <v>0</v>
      </c>
      <c r="H45" s="13">
        <v>65</v>
      </c>
      <c r="I45" s="13">
        <v>4</v>
      </c>
      <c r="J45" s="13">
        <v>69</v>
      </c>
      <c r="K45" s="14">
        <v>4.5700000000000003E-6</v>
      </c>
    </row>
    <row r="46" spans="1:11" ht="68" customHeight="1" x14ac:dyDescent="0.15">
      <c r="A46" s="9">
        <v>4275</v>
      </c>
      <c r="B46" s="10" t="s">
        <v>137</v>
      </c>
      <c r="C46" s="11" t="s">
        <v>138</v>
      </c>
      <c r="D46" s="11" t="s">
        <v>139</v>
      </c>
      <c r="E46" s="12"/>
      <c r="F46" s="13">
        <v>600</v>
      </c>
      <c r="G46" s="7">
        <f t="shared" si="0"/>
        <v>0</v>
      </c>
      <c r="H46" s="13">
        <v>0</v>
      </c>
      <c r="I46" s="13">
        <v>1</v>
      </c>
      <c r="J46" s="13">
        <v>1</v>
      </c>
      <c r="K46" s="13">
        <v>0</v>
      </c>
    </row>
    <row r="47" spans="1:11" ht="44" customHeight="1" x14ac:dyDescent="0.15">
      <c r="A47" s="9">
        <v>6973</v>
      </c>
      <c r="B47" s="10" t="s">
        <v>140</v>
      </c>
      <c r="C47" s="11" t="s">
        <v>141</v>
      </c>
      <c r="D47" s="11" t="s">
        <v>142</v>
      </c>
      <c r="E47" s="12"/>
      <c r="F47" s="13">
        <v>300</v>
      </c>
      <c r="G47" s="7">
        <f t="shared" si="0"/>
        <v>0</v>
      </c>
      <c r="H47" s="13">
        <v>84</v>
      </c>
      <c r="I47" s="13">
        <v>17</v>
      </c>
      <c r="J47" s="13">
        <v>101</v>
      </c>
      <c r="K47" s="14">
        <v>9.8099999999999992E-6</v>
      </c>
    </row>
    <row r="48" spans="1:11" ht="56" customHeight="1" x14ac:dyDescent="0.15">
      <c r="A48" s="9">
        <v>7454</v>
      </c>
      <c r="B48" s="10" t="s">
        <v>143</v>
      </c>
      <c r="C48" s="11" t="s">
        <v>144</v>
      </c>
      <c r="D48" s="11" t="s">
        <v>145</v>
      </c>
      <c r="E48" s="12"/>
      <c r="F48" s="13">
        <v>20</v>
      </c>
      <c r="G48" s="7">
        <f t="shared" si="0"/>
        <v>0</v>
      </c>
      <c r="H48" s="13">
        <v>0</v>
      </c>
      <c r="I48" s="13">
        <v>1</v>
      </c>
      <c r="J48" s="13">
        <v>1</v>
      </c>
      <c r="K48" s="13">
        <v>0</v>
      </c>
    </row>
    <row r="49" spans="1:11" ht="44" customHeight="1" x14ac:dyDescent="0.15">
      <c r="A49" s="9">
        <v>3592</v>
      </c>
      <c r="B49" s="10" t="s">
        <v>146</v>
      </c>
      <c r="C49" s="11" t="s">
        <v>147</v>
      </c>
      <c r="D49" s="11" t="s">
        <v>148</v>
      </c>
      <c r="E49" s="13">
        <v>5</v>
      </c>
      <c r="F49" s="13">
        <v>6</v>
      </c>
      <c r="G49" s="7">
        <f t="shared" si="0"/>
        <v>0</v>
      </c>
      <c r="H49" s="13">
        <v>87</v>
      </c>
      <c r="I49" s="13">
        <v>4</v>
      </c>
      <c r="J49" s="13">
        <v>91</v>
      </c>
      <c r="K49" s="14">
        <v>5.6699999999999999E-6</v>
      </c>
    </row>
    <row r="50" spans="1:11" ht="80" customHeight="1" x14ac:dyDescent="0.15">
      <c r="A50" s="9">
        <v>5384</v>
      </c>
      <c r="B50" s="10" t="s">
        <v>149</v>
      </c>
      <c r="C50" s="11" t="s">
        <v>150</v>
      </c>
      <c r="D50" s="11" t="s">
        <v>151</v>
      </c>
      <c r="E50" s="12"/>
      <c r="F50" s="13">
        <v>680</v>
      </c>
      <c r="G50" s="7">
        <f t="shared" si="0"/>
        <v>0</v>
      </c>
      <c r="H50" s="13">
        <v>0</v>
      </c>
      <c r="I50" s="13">
        <v>1</v>
      </c>
      <c r="J50" s="13">
        <v>1</v>
      </c>
      <c r="K50" s="13">
        <v>0</v>
      </c>
    </row>
    <row r="51" spans="1:11" ht="56" customHeight="1" x14ac:dyDescent="0.15">
      <c r="A51" s="9">
        <v>2877</v>
      </c>
      <c r="B51" s="10" t="s">
        <v>152</v>
      </c>
      <c r="C51" s="11" t="s">
        <v>153</v>
      </c>
      <c r="D51" s="11" t="s">
        <v>154</v>
      </c>
      <c r="E51" s="13">
        <v>20</v>
      </c>
      <c r="F51" s="13">
        <v>20</v>
      </c>
      <c r="G51" s="7">
        <f t="shared" si="0"/>
        <v>1</v>
      </c>
      <c r="H51" s="13">
        <v>102</v>
      </c>
      <c r="I51" s="13">
        <v>4</v>
      </c>
      <c r="J51" s="13">
        <v>106</v>
      </c>
      <c r="K51" s="14">
        <v>6.4200000000000004E-6</v>
      </c>
    </row>
    <row r="52" spans="1:11" ht="56" customHeight="1" x14ac:dyDescent="0.15">
      <c r="A52" s="9">
        <v>997</v>
      </c>
      <c r="B52" s="10" t="s">
        <v>155</v>
      </c>
      <c r="C52" s="11" t="s">
        <v>156</v>
      </c>
      <c r="D52" s="11" t="s">
        <v>157</v>
      </c>
      <c r="E52" s="12"/>
      <c r="F52" s="13">
        <v>4</v>
      </c>
      <c r="G52" s="7">
        <f t="shared" si="0"/>
        <v>0</v>
      </c>
      <c r="H52" s="13">
        <v>0</v>
      </c>
      <c r="I52" s="13">
        <v>1</v>
      </c>
      <c r="J52" s="13">
        <v>1</v>
      </c>
      <c r="K52" s="13">
        <v>0</v>
      </c>
    </row>
    <row r="53" spans="1:11" ht="56" customHeight="1" x14ac:dyDescent="0.15">
      <c r="A53" s="9">
        <v>1042</v>
      </c>
      <c r="B53" s="10" t="s">
        <v>158</v>
      </c>
      <c r="C53" s="11" t="s">
        <v>159</v>
      </c>
      <c r="D53" s="11" t="s">
        <v>160</v>
      </c>
      <c r="E53" s="12"/>
      <c r="F53" s="13">
        <v>28</v>
      </c>
      <c r="G53" s="7">
        <f t="shared" si="0"/>
        <v>0</v>
      </c>
      <c r="H53" s="13">
        <v>0</v>
      </c>
      <c r="I53" s="13">
        <v>1</v>
      </c>
      <c r="J53" s="13">
        <v>1</v>
      </c>
      <c r="K53" s="13">
        <v>0</v>
      </c>
    </row>
    <row r="54" spans="1:11" ht="68" customHeight="1" x14ac:dyDescent="0.15">
      <c r="A54" s="9">
        <v>6394</v>
      </c>
      <c r="B54" s="10" t="s">
        <v>161</v>
      </c>
      <c r="C54" s="11" t="s">
        <v>162</v>
      </c>
      <c r="D54" s="11" t="s">
        <v>163</v>
      </c>
      <c r="E54" s="12"/>
      <c r="F54" s="13">
        <v>48</v>
      </c>
      <c r="G54" s="7">
        <f t="shared" si="0"/>
        <v>0</v>
      </c>
      <c r="H54" s="13">
        <v>0</v>
      </c>
      <c r="I54" s="13">
        <v>1</v>
      </c>
      <c r="J54" s="13">
        <v>1</v>
      </c>
      <c r="K54" s="13">
        <v>0</v>
      </c>
    </row>
    <row r="55" spans="1:11" ht="80" customHeight="1" x14ac:dyDescent="0.15">
      <c r="A55" s="9">
        <v>6558</v>
      </c>
      <c r="B55" s="10" t="s">
        <v>164</v>
      </c>
      <c r="C55" s="11" t="s">
        <v>165</v>
      </c>
      <c r="D55" s="11" t="s">
        <v>166</v>
      </c>
      <c r="E55" s="12"/>
      <c r="F55" s="13">
        <v>15</v>
      </c>
      <c r="G55" s="7">
        <f t="shared" si="0"/>
        <v>0</v>
      </c>
      <c r="H55" s="13">
        <v>0</v>
      </c>
      <c r="I55" s="13">
        <v>1</v>
      </c>
      <c r="J55" s="13">
        <v>1</v>
      </c>
      <c r="K55" s="13">
        <v>0</v>
      </c>
    </row>
    <row r="56" spans="1:11" ht="44" customHeight="1" x14ac:dyDescent="0.15">
      <c r="A56" s="9">
        <v>2022</v>
      </c>
      <c r="B56" s="10" t="s">
        <v>167</v>
      </c>
      <c r="C56" s="11" t="s">
        <v>168</v>
      </c>
      <c r="D56" s="11" t="s">
        <v>75</v>
      </c>
      <c r="E56" s="13">
        <v>4</v>
      </c>
      <c r="F56" s="13">
        <v>4</v>
      </c>
      <c r="G56" s="7">
        <f t="shared" si="0"/>
        <v>1</v>
      </c>
      <c r="H56" s="13">
        <v>108</v>
      </c>
      <c r="I56" s="13">
        <v>4</v>
      </c>
      <c r="J56" s="13">
        <v>112</v>
      </c>
      <c r="K56" s="14">
        <v>6.72E-6</v>
      </c>
    </row>
    <row r="57" spans="1:11" ht="68" customHeight="1" x14ac:dyDescent="0.15">
      <c r="A57" s="9">
        <v>7119</v>
      </c>
      <c r="B57" s="10" t="s">
        <v>169</v>
      </c>
      <c r="C57" s="11" t="s">
        <v>170</v>
      </c>
      <c r="D57" s="11" t="s">
        <v>171</v>
      </c>
      <c r="E57" s="12">
        <v>24</v>
      </c>
      <c r="F57" s="13">
        <v>7</v>
      </c>
      <c r="G57" s="7">
        <f t="shared" si="0"/>
        <v>0</v>
      </c>
      <c r="H57" s="13">
        <v>128</v>
      </c>
      <c r="I57" s="13">
        <v>4</v>
      </c>
      <c r="J57" s="13">
        <v>132</v>
      </c>
      <c r="K57" s="15">
        <v>7.8552000000000006E-6</v>
      </c>
    </row>
    <row r="58" spans="1:11" ht="56" customHeight="1" x14ac:dyDescent="0.15">
      <c r="A58" s="9">
        <v>3017</v>
      </c>
      <c r="B58" s="10" t="s">
        <v>172</v>
      </c>
      <c r="C58" s="11" t="s">
        <v>173</v>
      </c>
      <c r="D58" s="11" t="s">
        <v>174</v>
      </c>
      <c r="E58" s="13">
        <v>7</v>
      </c>
      <c r="F58" s="13">
        <v>4</v>
      </c>
      <c r="G58" s="7">
        <f t="shared" si="0"/>
        <v>0</v>
      </c>
      <c r="H58" s="13">
        <v>75</v>
      </c>
      <c r="I58" s="13">
        <v>4</v>
      </c>
      <c r="J58" s="13">
        <v>79</v>
      </c>
      <c r="K58" s="14">
        <v>5.0699999999999997E-6</v>
      </c>
    </row>
    <row r="59" spans="1:11" ht="68" customHeight="1" x14ac:dyDescent="0.15">
      <c r="A59" s="9">
        <v>6888</v>
      </c>
      <c r="B59" s="10" t="s">
        <v>175</v>
      </c>
      <c r="C59" s="11" t="s">
        <v>176</v>
      </c>
      <c r="D59" s="11" t="s">
        <v>177</v>
      </c>
      <c r="E59" s="12"/>
      <c r="F59" s="13">
        <v>2</v>
      </c>
      <c r="G59" s="7">
        <f t="shared" si="0"/>
        <v>0</v>
      </c>
      <c r="H59" s="13">
        <v>0</v>
      </c>
      <c r="I59" s="13">
        <v>1</v>
      </c>
      <c r="J59" s="13">
        <v>1</v>
      </c>
      <c r="K59" s="13">
        <v>0</v>
      </c>
    </row>
    <row r="60" spans="1:11" ht="56" customHeight="1" x14ac:dyDescent="0.15">
      <c r="A60" s="9">
        <v>6750</v>
      </c>
      <c r="B60" s="10" t="s">
        <v>178</v>
      </c>
      <c r="C60" s="11" t="s">
        <v>179</v>
      </c>
      <c r="D60" s="11" t="s">
        <v>180</v>
      </c>
      <c r="E60" s="13">
        <v>82</v>
      </c>
      <c r="F60" s="13">
        <v>13</v>
      </c>
      <c r="G60" s="7">
        <f t="shared" si="0"/>
        <v>0</v>
      </c>
      <c r="H60" s="13">
        <v>98</v>
      </c>
      <c r="I60" s="13">
        <v>4</v>
      </c>
      <c r="J60" s="13">
        <v>102</v>
      </c>
      <c r="K60" s="14">
        <v>6.2199999999999997E-6</v>
      </c>
    </row>
    <row r="61" spans="1:11" ht="104" customHeight="1" x14ac:dyDescent="0.15">
      <c r="A61" s="9">
        <v>1894</v>
      </c>
      <c r="B61" s="10" t="s">
        <v>181</v>
      </c>
      <c r="C61" s="11" t="s">
        <v>182</v>
      </c>
      <c r="D61" s="11" t="s">
        <v>183</v>
      </c>
      <c r="E61" s="13">
        <v>8</v>
      </c>
      <c r="F61" s="13">
        <v>4</v>
      </c>
      <c r="G61" s="7">
        <f t="shared" si="0"/>
        <v>0</v>
      </c>
      <c r="H61" s="13">
        <v>189</v>
      </c>
      <c r="I61" s="13">
        <v>4</v>
      </c>
      <c r="J61" s="13">
        <v>193</v>
      </c>
      <c r="K61" s="17">
        <v>1.09601E-5</v>
      </c>
    </row>
    <row r="62" spans="1:11" ht="68" customHeight="1" x14ac:dyDescent="0.15">
      <c r="A62" s="9">
        <v>6281</v>
      </c>
      <c r="B62" s="10" t="s">
        <v>184</v>
      </c>
      <c r="C62" s="11" t="s">
        <v>185</v>
      </c>
      <c r="D62" s="11" t="s">
        <v>186</v>
      </c>
      <c r="E62" s="13">
        <v>32</v>
      </c>
      <c r="F62" s="13">
        <v>16</v>
      </c>
      <c r="G62" s="7">
        <f t="shared" si="0"/>
        <v>0</v>
      </c>
      <c r="H62" s="13">
        <v>70</v>
      </c>
      <c r="I62" s="13">
        <v>4</v>
      </c>
      <c r="J62" s="13">
        <v>74</v>
      </c>
      <c r="K62" s="14">
        <v>4.8199999999999996E-6</v>
      </c>
    </row>
    <row r="63" spans="1:11" ht="44" customHeight="1" x14ac:dyDescent="0.15">
      <c r="A63" s="9">
        <v>1886</v>
      </c>
      <c r="B63" s="10" t="s">
        <v>187</v>
      </c>
      <c r="C63" s="11" t="s">
        <v>188</v>
      </c>
      <c r="D63" s="11" t="s">
        <v>34</v>
      </c>
      <c r="E63" s="13">
        <v>50</v>
      </c>
      <c r="F63" s="13">
        <v>5</v>
      </c>
      <c r="G63" s="7">
        <f t="shared" si="0"/>
        <v>0</v>
      </c>
      <c r="H63" s="13">
        <v>80</v>
      </c>
      <c r="I63" s="13">
        <v>4</v>
      </c>
      <c r="J63" s="13">
        <v>84</v>
      </c>
      <c r="K63" s="14">
        <v>5.3199999999999999E-6</v>
      </c>
    </row>
    <row r="64" spans="1:11" ht="44" customHeight="1" x14ac:dyDescent="0.15">
      <c r="A64" s="9">
        <v>3875</v>
      </c>
      <c r="B64" s="10" t="s">
        <v>189</v>
      </c>
      <c r="C64" s="11" t="s">
        <v>190</v>
      </c>
      <c r="D64" s="11" t="s">
        <v>133</v>
      </c>
      <c r="E64" s="13">
        <v>200</v>
      </c>
      <c r="F64" s="13">
        <v>2</v>
      </c>
      <c r="G64" s="7">
        <f t="shared" si="0"/>
        <v>0</v>
      </c>
      <c r="H64" s="13">
        <v>137</v>
      </c>
      <c r="I64" s="13">
        <v>4</v>
      </c>
      <c r="J64" s="13">
        <v>141</v>
      </c>
      <c r="K64" s="14">
        <v>8.1699999999999997E-6</v>
      </c>
    </row>
    <row r="65" spans="1:11" ht="44" customHeight="1" x14ac:dyDescent="0.15">
      <c r="A65" s="9">
        <v>2664</v>
      </c>
      <c r="B65" s="10" t="s">
        <v>191</v>
      </c>
      <c r="C65" s="11" t="s">
        <v>192</v>
      </c>
      <c r="D65" s="11" t="s">
        <v>193</v>
      </c>
      <c r="E65" s="13">
        <v>3</v>
      </c>
      <c r="F65" s="13">
        <v>9</v>
      </c>
      <c r="G65" s="7">
        <f t="shared" si="0"/>
        <v>0</v>
      </c>
      <c r="H65" s="13">
        <v>63</v>
      </c>
      <c r="I65" s="13">
        <v>4</v>
      </c>
      <c r="J65" s="13">
        <v>67</v>
      </c>
      <c r="K65" s="14">
        <v>4.4700000000000004E-6</v>
      </c>
    </row>
    <row r="66" spans="1:11" ht="56" customHeight="1" x14ac:dyDescent="0.15">
      <c r="A66" s="9">
        <v>3955</v>
      </c>
      <c r="B66" s="10" t="s">
        <v>194</v>
      </c>
      <c r="C66" s="11" t="s">
        <v>195</v>
      </c>
      <c r="D66" s="11" t="s">
        <v>196</v>
      </c>
      <c r="E66" s="13">
        <v>16</v>
      </c>
      <c r="F66" s="13">
        <v>2</v>
      </c>
      <c r="G66" s="7">
        <f t="shared" si="0"/>
        <v>0</v>
      </c>
      <c r="H66" s="13">
        <v>98</v>
      </c>
      <c r="I66" s="13">
        <v>4</v>
      </c>
      <c r="J66" s="13">
        <v>102</v>
      </c>
      <c r="K66" s="14">
        <v>6.2199999999999997E-6</v>
      </c>
    </row>
    <row r="67" spans="1:11" ht="44" customHeight="1" x14ac:dyDescent="0.15">
      <c r="A67" s="9">
        <v>2540</v>
      </c>
      <c r="B67" s="10" t="s">
        <v>197</v>
      </c>
      <c r="C67" s="11" t="s">
        <v>198</v>
      </c>
      <c r="D67" s="11" t="s">
        <v>199</v>
      </c>
      <c r="E67" s="13">
        <v>1200</v>
      </c>
      <c r="F67" s="13">
        <v>8000</v>
      </c>
      <c r="G67" s="7">
        <f t="shared" si="0"/>
        <v>0</v>
      </c>
      <c r="H67" s="13">
        <v>71</v>
      </c>
      <c r="I67" s="13">
        <v>5</v>
      </c>
      <c r="J67" s="13">
        <v>76</v>
      </c>
      <c r="K67" s="18">
        <v>5.2000000000000002E-6</v>
      </c>
    </row>
    <row r="68" spans="1:11" ht="56" customHeight="1" x14ac:dyDescent="0.15">
      <c r="A68" s="9">
        <v>5661</v>
      </c>
      <c r="B68" s="10" t="s">
        <v>200</v>
      </c>
      <c r="C68" s="11" t="s">
        <v>201</v>
      </c>
      <c r="D68" s="11" t="s">
        <v>202</v>
      </c>
      <c r="E68" s="13">
        <v>540</v>
      </c>
      <c r="F68" s="13">
        <v>420</v>
      </c>
      <c r="G68" s="7">
        <f t="shared" ref="G68:G131" si="1">IF(OR(ISBLANK(E68), ISBLANK(F68)), 0, IF(E68=F68, 1, 0))</f>
        <v>0</v>
      </c>
      <c r="H68" s="13">
        <v>85</v>
      </c>
      <c r="I68" s="13">
        <v>4</v>
      </c>
      <c r="J68" s="13">
        <v>89</v>
      </c>
      <c r="K68" s="14">
        <v>5.57E-6</v>
      </c>
    </row>
    <row r="69" spans="1:11" ht="68" customHeight="1" x14ac:dyDescent="0.15">
      <c r="A69" s="9">
        <v>5921</v>
      </c>
      <c r="B69" s="10" t="s">
        <v>203</v>
      </c>
      <c r="C69" s="11" t="s">
        <v>204</v>
      </c>
      <c r="D69" s="11" t="s">
        <v>205</v>
      </c>
      <c r="E69" s="12"/>
      <c r="F69" s="13">
        <v>10</v>
      </c>
      <c r="G69" s="7">
        <f t="shared" si="1"/>
        <v>0</v>
      </c>
      <c r="H69" s="13">
        <v>124</v>
      </c>
      <c r="I69" s="13">
        <v>6</v>
      </c>
      <c r="J69" s="13">
        <v>130</v>
      </c>
      <c r="K69" s="14">
        <v>8.1799999999999996E-6</v>
      </c>
    </row>
    <row r="70" spans="1:11" ht="44" customHeight="1" x14ac:dyDescent="0.15">
      <c r="A70" s="9">
        <v>132</v>
      </c>
      <c r="B70" s="10" t="s">
        <v>206</v>
      </c>
      <c r="C70" s="11" t="s">
        <v>207</v>
      </c>
      <c r="D70" s="11" t="s">
        <v>208</v>
      </c>
      <c r="E70" s="12"/>
      <c r="F70" s="13">
        <v>110</v>
      </c>
      <c r="G70" s="7">
        <f t="shared" si="1"/>
        <v>0</v>
      </c>
      <c r="H70" s="13">
        <v>0</v>
      </c>
      <c r="I70" s="13">
        <v>1</v>
      </c>
      <c r="J70" s="13">
        <v>1</v>
      </c>
      <c r="K70" s="13">
        <v>0</v>
      </c>
    </row>
    <row r="71" spans="1:11" ht="68" customHeight="1" x14ac:dyDescent="0.15">
      <c r="A71" s="9">
        <v>1084</v>
      </c>
      <c r="B71" s="10" t="s">
        <v>209</v>
      </c>
      <c r="C71" s="11" t="s">
        <v>210</v>
      </c>
      <c r="D71" s="11" t="s">
        <v>211</v>
      </c>
      <c r="E71" s="12"/>
      <c r="F71" s="13">
        <v>8</v>
      </c>
      <c r="G71" s="7">
        <f t="shared" si="1"/>
        <v>0</v>
      </c>
      <c r="H71" s="13">
        <v>0</v>
      </c>
      <c r="I71" s="13">
        <v>1</v>
      </c>
      <c r="J71" s="13">
        <v>1</v>
      </c>
      <c r="K71" s="13">
        <v>0</v>
      </c>
    </row>
    <row r="72" spans="1:11" ht="56" customHeight="1" x14ac:dyDescent="0.15">
      <c r="A72" s="9">
        <v>4696</v>
      </c>
      <c r="B72" s="10" t="s">
        <v>212</v>
      </c>
      <c r="C72" s="11" t="s">
        <v>213</v>
      </c>
      <c r="D72" s="11" t="s">
        <v>214</v>
      </c>
      <c r="E72" s="12"/>
      <c r="F72" s="13">
        <v>195</v>
      </c>
      <c r="G72" s="7">
        <f t="shared" si="1"/>
        <v>0</v>
      </c>
      <c r="H72" s="13">
        <v>0</v>
      </c>
      <c r="I72" s="13">
        <v>1</v>
      </c>
      <c r="J72" s="13">
        <v>1</v>
      </c>
      <c r="K72" s="13">
        <v>0</v>
      </c>
    </row>
    <row r="73" spans="1:11" ht="56" customHeight="1" x14ac:dyDescent="0.15">
      <c r="A73" s="9">
        <v>169</v>
      </c>
      <c r="B73" s="10" t="s">
        <v>215</v>
      </c>
      <c r="C73" s="11" t="s">
        <v>216</v>
      </c>
      <c r="D73" s="11" t="s">
        <v>217</v>
      </c>
      <c r="E73" s="13">
        <v>1080</v>
      </c>
      <c r="F73" s="13">
        <v>216</v>
      </c>
      <c r="G73" s="7">
        <f t="shared" si="1"/>
        <v>0</v>
      </c>
      <c r="H73" s="13">
        <v>71</v>
      </c>
      <c r="I73" s="13">
        <v>5</v>
      </c>
      <c r="J73" s="13">
        <v>76</v>
      </c>
      <c r="K73" s="18">
        <v>5.2000000000000002E-6</v>
      </c>
    </row>
    <row r="74" spans="1:11" ht="44" customHeight="1" x14ac:dyDescent="0.15">
      <c r="A74" s="9">
        <v>465</v>
      </c>
      <c r="B74" s="10" t="s">
        <v>218</v>
      </c>
      <c r="C74" s="11" t="s">
        <v>219</v>
      </c>
      <c r="D74" s="11" t="s">
        <v>174</v>
      </c>
      <c r="E74" s="13">
        <v>7</v>
      </c>
      <c r="F74" s="13">
        <v>5</v>
      </c>
      <c r="G74" s="7">
        <f t="shared" si="1"/>
        <v>0</v>
      </c>
      <c r="H74" s="13">
        <v>130</v>
      </c>
      <c r="I74" s="13">
        <v>4</v>
      </c>
      <c r="J74" s="13">
        <v>134</v>
      </c>
      <c r="K74" s="14">
        <v>7.8199999999999997E-6</v>
      </c>
    </row>
    <row r="75" spans="1:11" ht="116" customHeight="1" x14ac:dyDescent="0.15">
      <c r="A75" s="9">
        <v>468</v>
      </c>
      <c r="B75" s="10" t="s">
        <v>220</v>
      </c>
      <c r="C75" s="11" t="s">
        <v>221</v>
      </c>
      <c r="D75" s="11" t="s">
        <v>222</v>
      </c>
      <c r="E75" s="12">
        <v>504</v>
      </c>
      <c r="F75" s="13">
        <v>504</v>
      </c>
      <c r="G75" s="7">
        <f t="shared" si="1"/>
        <v>1</v>
      </c>
      <c r="H75" s="13">
        <v>112</v>
      </c>
      <c r="I75" s="13">
        <v>46</v>
      </c>
      <c r="J75" s="13">
        <v>158</v>
      </c>
      <c r="K75" s="16">
        <v>2.0780000000000001E-5</v>
      </c>
    </row>
    <row r="76" spans="1:11" ht="56" customHeight="1" x14ac:dyDescent="0.15">
      <c r="A76" s="9">
        <v>5328</v>
      </c>
      <c r="B76" s="10" t="s">
        <v>223</v>
      </c>
      <c r="C76" s="11" t="s">
        <v>224</v>
      </c>
      <c r="D76" s="11" t="s">
        <v>19</v>
      </c>
      <c r="E76" s="13">
        <v>12</v>
      </c>
      <c r="F76" s="13">
        <v>33</v>
      </c>
      <c r="G76" s="7">
        <f t="shared" si="1"/>
        <v>0</v>
      </c>
      <c r="H76" s="13">
        <v>108</v>
      </c>
      <c r="I76" s="13">
        <v>4</v>
      </c>
      <c r="J76" s="13">
        <v>112</v>
      </c>
      <c r="K76" s="14">
        <v>6.72E-6</v>
      </c>
    </row>
    <row r="77" spans="1:11" ht="80" customHeight="1" x14ac:dyDescent="0.15">
      <c r="A77" s="9">
        <v>457</v>
      </c>
      <c r="B77" s="10" t="s">
        <v>225</v>
      </c>
      <c r="C77" s="11" t="s">
        <v>226</v>
      </c>
      <c r="D77" s="11" t="s">
        <v>227</v>
      </c>
      <c r="E77" s="13">
        <v>108</v>
      </c>
      <c r="F77" s="13">
        <v>324</v>
      </c>
      <c r="G77" s="7">
        <f t="shared" si="1"/>
        <v>0</v>
      </c>
      <c r="H77" s="13">
        <v>100</v>
      </c>
      <c r="I77" s="13">
        <v>4</v>
      </c>
      <c r="J77" s="13">
        <v>104</v>
      </c>
      <c r="K77" s="14">
        <v>6.3199999999999996E-6</v>
      </c>
    </row>
    <row r="78" spans="1:11" ht="80" customHeight="1" x14ac:dyDescent="0.15">
      <c r="A78" s="9">
        <v>6093</v>
      </c>
      <c r="B78" s="10" t="s">
        <v>228</v>
      </c>
      <c r="C78" s="11" t="s">
        <v>229</v>
      </c>
      <c r="D78" s="11" t="s">
        <v>230</v>
      </c>
      <c r="E78" s="12"/>
      <c r="F78" s="13">
        <v>45</v>
      </c>
      <c r="G78" s="7">
        <f t="shared" si="1"/>
        <v>0</v>
      </c>
      <c r="H78" s="13">
        <v>0</v>
      </c>
      <c r="I78" s="13">
        <v>1</v>
      </c>
      <c r="J78" s="13">
        <v>1</v>
      </c>
      <c r="K78" s="13">
        <v>0</v>
      </c>
    </row>
    <row r="79" spans="1:11" ht="56" customHeight="1" x14ac:dyDescent="0.15">
      <c r="A79" s="9">
        <v>6280</v>
      </c>
      <c r="B79" s="10" t="s">
        <v>231</v>
      </c>
      <c r="C79" s="11" t="s">
        <v>232</v>
      </c>
      <c r="D79" s="11" t="s">
        <v>233</v>
      </c>
      <c r="E79" s="12"/>
      <c r="F79" s="13">
        <v>50</v>
      </c>
      <c r="G79" s="7">
        <f t="shared" si="1"/>
        <v>0</v>
      </c>
      <c r="H79" s="13">
        <v>0</v>
      </c>
      <c r="I79" s="13">
        <v>1</v>
      </c>
      <c r="J79" s="13">
        <v>1</v>
      </c>
      <c r="K79" s="13">
        <v>0</v>
      </c>
    </row>
    <row r="80" spans="1:11" ht="44" customHeight="1" x14ac:dyDescent="0.15">
      <c r="A80" s="9">
        <v>6637</v>
      </c>
      <c r="B80" s="10" t="s">
        <v>234</v>
      </c>
      <c r="C80" s="11" t="s">
        <v>235</v>
      </c>
      <c r="D80" s="11" t="s">
        <v>236</v>
      </c>
      <c r="E80" s="12"/>
      <c r="F80" s="13">
        <v>1600</v>
      </c>
      <c r="G80" s="7">
        <f t="shared" si="1"/>
        <v>0</v>
      </c>
      <c r="H80" s="13">
        <v>0</v>
      </c>
      <c r="I80" s="13">
        <v>1</v>
      </c>
      <c r="J80" s="13">
        <v>1</v>
      </c>
      <c r="K80" s="13">
        <v>0</v>
      </c>
    </row>
    <row r="81" spans="1:11" ht="80" customHeight="1" x14ac:dyDescent="0.15">
      <c r="A81" s="9">
        <v>3685</v>
      </c>
      <c r="B81" s="10" t="s">
        <v>237</v>
      </c>
      <c r="C81" s="11" t="s">
        <v>238</v>
      </c>
      <c r="D81" s="11" t="s">
        <v>239</v>
      </c>
      <c r="E81" s="12"/>
      <c r="F81" s="13">
        <v>307</v>
      </c>
      <c r="G81" s="7">
        <f t="shared" si="1"/>
        <v>0</v>
      </c>
      <c r="H81" s="13">
        <v>0</v>
      </c>
      <c r="I81" s="13">
        <v>1</v>
      </c>
      <c r="J81" s="13">
        <v>1</v>
      </c>
      <c r="K81" s="13">
        <v>0</v>
      </c>
    </row>
    <row r="82" spans="1:11" ht="68" customHeight="1" x14ac:dyDescent="0.15">
      <c r="A82" s="9">
        <v>3143</v>
      </c>
      <c r="B82" s="10" t="s">
        <v>240</v>
      </c>
      <c r="C82" s="11" t="s">
        <v>241</v>
      </c>
      <c r="D82" s="11" t="s">
        <v>242</v>
      </c>
      <c r="E82" s="13">
        <v>38</v>
      </c>
      <c r="F82" s="13">
        <v>25</v>
      </c>
      <c r="G82" s="7">
        <f t="shared" si="1"/>
        <v>0</v>
      </c>
      <c r="H82" s="13">
        <v>99</v>
      </c>
      <c r="I82" s="13">
        <v>4</v>
      </c>
      <c r="J82" s="13">
        <v>103</v>
      </c>
      <c r="K82" s="14">
        <v>6.2700000000000001E-6</v>
      </c>
    </row>
    <row r="83" spans="1:11" ht="116" customHeight="1" x14ac:dyDescent="0.15">
      <c r="A83" s="9">
        <v>1022</v>
      </c>
      <c r="B83" s="10" t="s">
        <v>243</v>
      </c>
      <c r="C83" s="11" t="s">
        <v>244</v>
      </c>
      <c r="D83" s="11" t="s">
        <v>245</v>
      </c>
      <c r="E83" s="12"/>
      <c r="F83" s="13">
        <v>19</v>
      </c>
      <c r="G83" s="7">
        <f t="shared" si="1"/>
        <v>0</v>
      </c>
      <c r="H83" s="13">
        <v>0</v>
      </c>
      <c r="I83" s="13">
        <v>1</v>
      </c>
      <c r="J83" s="13">
        <v>1</v>
      </c>
      <c r="K83" s="13">
        <v>0</v>
      </c>
    </row>
    <row r="84" spans="1:11" ht="44" customHeight="1" x14ac:dyDescent="0.15">
      <c r="A84" s="9">
        <v>2942</v>
      </c>
      <c r="B84" s="10" t="s">
        <v>246</v>
      </c>
      <c r="C84" s="11" t="s">
        <v>247</v>
      </c>
      <c r="D84" s="11" t="s">
        <v>248</v>
      </c>
      <c r="E84" s="12"/>
      <c r="F84" s="13">
        <v>9000</v>
      </c>
      <c r="G84" s="7">
        <f t="shared" si="1"/>
        <v>0</v>
      </c>
      <c r="H84" s="13">
        <v>94</v>
      </c>
      <c r="I84" s="13">
        <v>5</v>
      </c>
      <c r="J84" s="13">
        <v>99</v>
      </c>
      <c r="K84" s="15">
        <v>6.4596E-6</v>
      </c>
    </row>
    <row r="85" spans="1:11" ht="68" customHeight="1" x14ac:dyDescent="0.15">
      <c r="A85" s="9">
        <v>3043</v>
      </c>
      <c r="B85" s="10" t="s">
        <v>249</v>
      </c>
      <c r="C85" s="11" t="s">
        <v>250</v>
      </c>
      <c r="D85" s="11" t="s">
        <v>174</v>
      </c>
      <c r="E85" s="13">
        <v>7</v>
      </c>
      <c r="F85" s="13">
        <v>28</v>
      </c>
      <c r="G85" s="7">
        <f t="shared" si="1"/>
        <v>0</v>
      </c>
      <c r="H85" s="13">
        <v>78</v>
      </c>
      <c r="I85" s="13">
        <v>4</v>
      </c>
      <c r="J85" s="13">
        <v>82</v>
      </c>
      <c r="K85" s="14">
        <v>5.22E-6</v>
      </c>
    </row>
    <row r="86" spans="1:11" ht="56" customHeight="1" x14ac:dyDescent="0.15">
      <c r="A86" s="9">
        <v>4789</v>
      </c>
      <c r="B86" s="10" t="s">
        <v>251</v>
      </c>
      <c r="C86" s="11" t="s">
        <v>252</v>
      </c>
      <c r="D86" s="11" t="s">
        <v>183</v>
      </c>
      <c r="E86" s="13">
        <v>8</v>
      </c>
      <c r="F86" s="13">
        <v>9</v>
      </c>
      <c r="G86" s="7">
        <f t="shared" si="1"/>
        <v>0</v>
      </c>
      <c r="H86" s="13">
        <v>135</v>
      </c>
      <c r="I86" s="13">
        <v>4</v>
      </c>
      <c r="J86" s="13">
        <v>139</v>
      </c>
      <c r="K86" s="15">
        <v>8.2114999999999992E-6</v>
      </c>
    </row>
    <row r="87" spans="1:11" ht="44" customHeight="1" x14ac:dyDescent="0.15">
      <c r="A87" s="9">
        <v>4634</v>
      </c>
      <c r="B87" s="10" t="s">
        <v>253</v>
      </c>
      <c r="C87" s="11" t="s">
        <v>254</v>
      </c>
      <c r="D87" s="11" t="s">
        <v>255</v>
      </c>
      <c r="E87" s="13">
        <v>4724</v>
      </c>
      <c r="F87" s="13">
        <v>9724</v>
      </c>
      <c r="G87" s="7">
        <f>IF(OR(ISBLANK(E87), ISBLANK(F87)), 0, IF(E87=F87, 1, 0))</f>
        <v>0</v>
      </c>
      <c r="H87" s="13">
        <v>62</v>
      </c>
      <c r="I87" s="13">
        <v>5</v>
      </c>
      <c r="J87" s="13">
        <v>67</v>
      </c>
      <c r="K87" s="14">
        <v>4.7500000000000003E-6</v>
      </c>
    </row>
    <row r="88" spans="1:11" ht="56" customHeight="1" x14ac:dyDescent="0.15">
      <c r="A88" s="9">
        <v>230</v>
      </c>
      <c r="B88" s="10" t="s">
        <v>256</v>
      </c>
      <c r="C88" s="11" t="s">
        <v>257</v>
      </c>
      <c r="D88" s="11" t="s">
        <v>258</v>
      </c>
      <c r="E88" s="13">
        <v>60</v>
      </c>
      <c r="F88" s="13">
        <v>60</v>
      </c>
      <c r="G88" s="7">
        <f>IF(OR(ISBLANK(E88), ISBLANK(F88)), 0, IF(E88=F88, 1, 0))</f>
        <v>1</v>
      </c>
      <c r="H88" s="13">
        <v>100</v>
      </c>
      <c r="I88" s="13">
        <v>4</v>
      </c>
      <c r="J88" s="13">
        <v>104</v>
      </c>
      <c r="K88" s="14">
        <v>6.3199999999999996E-6</v>
      </c>
    </row>
    <row r="89" spans="1:11" ht="44" customHeight="1" x14ac:dyDescent="0.15">
      <c r="A89" s="9">
        <v>7048</v>
      </c>
      <c r="B89" s="10" t="s">
        <v>259</v>
      </c>
      <c r="C89" s="11" t="s">
        <v>260</v>
      </c>
      <c r="D89" s="11" t="s">
        <v>154</v>
      </c>
      <c r="E89" s="13">
        <v>20</v>
      </c>
      <c r="F89" s="13">
        <v>5</v>
      </c>
      <c r="G89" s="7">
        <f t="shared" si="1"/>
        <v>0</v>
      </c>
      <c r="H89" s="13">
        <v>62</v>
      </c>
      <c r="I89" s="13">
        <v>4</v>
      </c>
      <c r="J89" s="13">
        <v>66</v>
      </c>
      <c r="K89" s="14">
        <v>4.42E-6</v>
      </c>
    </row>
    <row r="90" spans="1:11" ht="56" customHeight="1" x14ac:dyDescent="0.15">
      <c r="A90" s="9">
        <v>1656</v>
      </c>
      <c r="B90" s="10" t="s">
        <v>261</v>
      </c>
      <c r="C90" s="11" t="s">
        <v>262</v>
      </c>
      <c r="D90" s="11" t="s">
        <v>263</v>
      </c>
      <c r="E90" s="12"/>
      <c r="F90" s="13">
        <v>400</v>
      </c>
      <c r="G90" s="7">
        <f t="shared" si="1"/>
        <v>0</v>
      </c>
      <c r="H90" s="13">
        <v>0</v>
      </c>
      <c r="I90" s="13">
        <v>1</v>
      </c>
      <c r="J90" s="13">
        <v>1</v>
      </c>
      <c r="K90" s="13">
        <v>0</v>
      </c>
    </row>
    <row r="91" spans="1:11" ht="44" customHeight="1" x14ac:dyDescent="0.15">
      <c r="A91" s="9">
        <v>4100</v>
      </c>
      <c r="B91" s="10" t="s">
        <v>264</v>
      </c>
      <c r="C91" s="11" t="s">
        <v>265</v>
      </c>
      <c r="D91" s="11" t="s">
        <v>266</v>
      </c>
      <c r="E91" s="12"/>
      <c r="F91" s="13">
        <v>6</v>
      </c>
      <c r="G91" s="7">
        <f t="shared" si="1"/>
        <v>0</v>
      </c>
      <c r="H91" s="13">
        <v>90</v>
      </c>
      <c r="I91" s="13">
        <v>6</v>
      </c>
      <c r="J91" s="13">
        <v>96</v>
      </c>
      <c r="K91" s="14">
        <v>6.4799999999999998E-6</v>
      </c>
    </row>
    <row r="92" spans="1:11" ht="44" customHeight="1" x14ac:dyDescent="0.15">
      <c r="A92" s="9">
        <v>3357</v>
      </c>
      <c r="B92" s="10" t="s">
        <v>267</v>
      </c>
      <c r="C92" s="11" t="s">
        <v>268</v>
      </c>
      <c r="D92" s="11" t="s">
        <v>154</v>
      </c>
      <c r="E92" s="13">
        <v>20</v>
      </c>
      <c r="F92" s="13">
        <v>10</v>
      </c>
      <c r="G92" s="7">
        <f t="shared" si="1"/>
        <v>0</v>
      </c>
      <c r="H92" s="13">
        <v>85</v>
      </c>
      <c r="I92" s="13">
        <v>4</v>
      </c>
      <c r="J92" s="13">
        <v>89</v>
      </c>
      <c r="K92" s="15">
        <v>5.6664999999999999E-6</v>
      </c>
    </row>
    <row r="93" spans="1:11" ht="44" customHeight="1" x14ac:dyDescent="0.15">
      <c r="A93" s="9">
        <v>5863</v>
      </c>
      <c r="B93" s="10" t="s">
        <v>269</v>
      </c>
      <c r="C93" s="11" t="s">
        <v>270</v>
      </c>
      <c r="D93" s="11" t="s">
        <v>271</v>
      </c>
      <c r="E93" s="12"/>
      <c r="F93" s="13">
        <v>18</v>
      </c>
      <c r="G93" s="7">
        <f t="shared" si="1"/>
        <v>0</v>
      </c>
      <c r="H93" s="13">
        <v>0</v>
      </c>
      <c r="I93" s="13">
        <v>1</v>
      </c>
      <c r="J93" s="13">
        <v>1</v>
      </c>
      <c r="K93" s="13">
        <v>0</v>
      </c>
    </row>
    <row r="94" spans="1:11" ht="80" customHeight="1" x14ac:dyDescent="0.15">
      <c r="A94" s="9">
        <v>6032</v>
      </c>
      <c r="B94" s="10" t="s">
        <v>272</v>
      </c>
      <c r="C94" s="11" t="s">
        <v>273</v>
      </c>
      <c r="D94" s="11" t="s">
        <v>274</v>
      </c>
      <c r="E94" s="12"/>
      <c r="F94" s="13">
        <v>11</v>
      </c>
      <c r="G94" s="7">
        <f t="shared" si="1"/>
        <v>0</v>
      </c>
      <c r="H94" s="13">
        <v>0</v>
      </c>
      <c r="I94" s="13">
        <v>1</v>
      </c>
      <c r="J94" s="13">
        <v>1</v>
      </c>
      <c r="K94" s="13">
        <v>0</v>
      </c>
    </row>
    <row r="95" spans="1:11" ht="44" customHeight="1" x14ac:dyDescent="0.15">
      <c r="A95" s="9">
        <v>6941</v>
      </c>
      <c r="B95" s="10" t="s">
        <v>275</v>
      </c>
      <c r="C95" s="11" t="s">
        <v>276</v>
      </c>
      <c r="D95" s="11" t="s">
        <v>258</v>
      </c>
      <c r="E95" s="13">
        <v>60</v>
      </c>
      <c r="F95" s="13">
        <v>60</v>
      </c>
      <c r="G95" s="7">
        <f t="shared" si="1"/>
        <v>1</v>
      </c>
      <c r="H95" s="13">
        <v>78</v>
      </c>
      <c r="I95" s="13">
        <v>4</v>
      </c>
      <c r="J95" s="13">
        <v>82</v>
      </c>
      <c r="K95" s="14">
        <v>5.22E-6</v>
      </c>
    </row>
    <row r="96" spans="1:11" ht="80" customHeight="1" x14ac:dyDescent="0.15">
      <c r="A96" s="9">
        <v>1172</v>
      </c>
      <c r="B96" s="10" t="s">
        <v>277</v>
      </c>
      <c r="C96" s="11" t="s">
        <v>278</v>
      </c>
      <c r="D96" s="11" t="s">
        <v>279</v>
      </c>
      <c r="E96" s="12"/>
      <c r="F96" s="13">
        <v>30</v>
      </c>
      <c r="G96" s="7">
        <f t="shared" si="1"/>
        <v>0</v>
      </c>
      <c r="H96" s="13">
        <v>0</v>
      </c>
      <c r="I96" s="13">
        <v>1</v>
      </c>
      <c r="J96" s="13">
        <v>1</v>
      </c>
      <c r="K96" s="13">
        <v>0</v>
      </c>
    </row>
    <row r="97" spans="1:11" ht="56" customHeight="1" x14ac:dyDescent="0.15">
      <c r="A97" s="9">
        <v>4046</v>
      </c>
      <c r="B97" s="10" t="s">
        <v>280</v>
      </c>
      <c r="C97" s="11" t="s">
        <v>281</v>
      </c>
      <c r="D97" s="11" t="s">
        <v>282</v>
      </c>
      <c r="E97" s="13">
        <v>240</v>
      </c>
      <c r="F97" s="13">
        <v>55</v>
      </c>
      <c r="G97" s="7">
        <f t="shared" si="1"/>
        <v>0</v>
      </c>
      <c r="H97" s="13">
        <v>79</v>
      </c>
      <c r="I97" s="13">
        <v>4</v>
      </c>
      <c r="J97" s="13">
        <v>83</v>
      </c>
      <c r="K97" s="14">
        <v>5.2700000000000004E-6</v>
      </c>
    </row>
    <row r="98" spans="1:11" ht="164" customHeight="1" x14ac:dyDescent="0.15">
      <c r="A98" s="9">
        <v>1002</v>
      </c>
      <c r="B98" s="10" t="s">
        <v>283</v>
      </c>
      <c r="C98" s="11" t="s">
        <v>284</v>
      </c>
      <c r="D98" s="11" t="s">
        <v>285</v>
      </c>
      <c r="E98" s="13">
        <v>113</v>
      </c>
      <c r="F98" s="13">
        <v>113</v>
      </c>
      <c r="G98" s="7">
        <f t="shared" si="1"/>
        <v>1</v>
      </c>
      <c r="H98" s="13">
        <v>79</v>
      </c>
      <c r="I98" s="13">
        <v>210</v>
      </c>
      <c r="J98" s="13">
        <v>289</v>
      </c>
      <c r="K98" s="16">
        <v>7.3250000000000005E-5</v>
      </c>
    </row>
    <row r="99" spans="1:11" ht="80" customHeight="1" x14ac:dyDescent="0.15">
      <c r="A99" s="9">
        <v>2432</v>
      </c>
      <c r="B99" s="10" t="s">
        <v>286</v>
      </c>
      <c r="C99" s="11" t="s">
        <v>287</v>
      </c>
      <c r="D99" s="11" t="s">
        <v>183</v>
      </c>
      <c r="E99" s="13">
        <v>8</v>
      </c>
      <c r="F99" s="13">
        <v>3</v>
      </c>
      <c r="G99" s="7">
        <f t="shared" si="1"/>
        <v>0</v>
      </c>
      <c r="H99" s="13">
        <v>94</v>
      </c>
      <c r="I99" s="13">
        <v>4</v>
      </c>
      <c r="J99" s="13">
        <v>98</v>
      </c>
      <c r="K99" s="14">
        <v>6.02E-6</v>
      </c>
    </row>
    <row r="100" spans="1:11" ht="44" customHeight="1" x14ac:dyDescent="0.15">
      <c r="A100" s="9">
        <v>4180</v>
      </c>
      <c r="B100" s="10" t="s">
        <v>288</v>
      </c>
      <c r="C100" s="11" t="s">
        <v>289</v>
      </c>
      <c r="D100" s="11" t="s">
        <v>290</v>
      </c>
      <c r="E100" s="13">
        <v>24</v>
      </c>
      <c r="F100" s="13">
        <v>48</v>
      </c>
      <c r="G100" s="7">
        <f t="shared" si="1"/>
        <v>0</v>
      </c>
      <c r="H100" s="13">
        <v>79</v>
      </c>
      <c r="I100" s="13">
        <v>4</v>
      </c>
      <c r="J100" s="13">
        <v>83</v>
      </c>
      <c r="K100" s="14">
        <v>5.2700000000000004E-6</v>
      </c>
    </row>
    <row r="101" spans="1:11" ht="68" customHeight="1" x14ac:dyDescent="0.15">
      <c r="A101" s="9">
        <v>1835</v>
      </c>
      <c r="B101" s="10" t="s">
        <v>291</v>
      </c>
      <c r="C101" s="11" t="s">
        <v>292</v>
      </c>
      <c r="D101" s="11" t="s">
        <v>208</v>
      </c>
      <c r="E101" s="12"/>
      <c r="F101" s="13">
        <v>40</v>
      </c>
      <c r="G101" s="7">
        <f t="shared" si="1"/>
        <v>0</v>
      </c>
      <c r="H101" s="13">
        <v>0</v>
      </c>
      <c r="I101" s="13">
        <v>1</v>
      </c>
      <c r="J101" s="13">
        <v>1</v>
      </c>
      <c r="K101" s="13">
        <v>0</v>
      </c>
    </row>
    <row r="102" spans="1:11" ht="68" customHeight="1" x14ac:dyDescent="0.15">
      <c r="A102" s="9">
        <v>3442</v>
      </c>
      <c r="B102" s="10" t="s">
        <v>293</v>
      </c>
      <c r="C102" s="11" t="s">
        <v>294</v>
      </c>
      <c r="D102" s="11" t="s">
        <v>295</v>
      </c>
      <c r="E102" s="12"/>
      <c r="F102" s="13">
        <v>30</v>
      </c>
      <c r="G102" s="7">
        <f t="shared" si="1"/>
        <v>0</v>
      </c>
      <c r="H102" s="13">
        <v>0</v>
      </c>
      <c r="I102" s="13">
        <v>1</v>
      </c>
      <c r="J102" s="13">
        <v>1</v>
      </c>
      <c r="K102" s="13">
        <v>0</v>
      </c>
    </row>
    <row r="103" spans="1:11" ht="56" customHeight="1" x14ac:dyDescent="0.15">
      <c r="A103" s="9">
        <v>6871</v>
      </c>
      <c r="B103" s="10" t="s">
        <v>296</v>
      </c>
      <c r="C103" s="11" t="s">
        <v>297</v>
      </c>
      <c r="D103" s="11" t="s">
        <v>290</v>
      </c>
      <c r="E103" s="13">
        <v>24</v>
      </c>
      <c r="F103" s="13">
        <v>84</v>
      </c>
      <c r="G103" s="7">
        <f t="shared" si="1"/>
        <v>0</v>
      </c>
      <c r="H103" s="13">
        <v>85</v>
      </c>
      <c r="I103" s="13">
        <v>4</v>
      </c>
      <c r="J103" s="13">
        <v>89</v>
      </c>
      <c r="K103" s="14">
        <v>5.57E-6</v>
      </c>
    </row>
    <row r="104" spans="1:11" ht="44" customHeight="1" x14ac:dyDescent="0.15">
      <c r="A104" s="9">
        <v>544</v>
      </c>
      <c r="B104" s="10" t="s">
        <v>298</v>
      </c>
      <c r="C104" s="11" t="s">
        <v>299</v>
      </c>
      <c r="D104" s="11" t="s">
        <v>300</v>
      </c>
      <c r="E104" s="13">
        <v>25</v>
      </c>
      <c r="F104" s="13">
        <v>15</v>
      </c>
      <c r="G104" s="7">
        <f t="shared" si="1"/>
        <v>0</v>
      </c>
      <c r="H104" s="13">
        <v>76</v>
      </c>
      <c r="I104" s="13">
        <v>4</v>
      </c>
      <c r="J104" s="13">
        <v>80</v>
      </c>
      <c r="K104" s="14">
        <v>5.1200000000000001E-6</v>
      </c>
    </row>
    <row r="105" spans="1:11" ht="80" customHeight="1" x14ac:dyDescent="0.15">
      <c r="A105" s="9">
        <v>7472</v>
      </c>
      <c r="B105" s="10" t="s">
        <v>301</v>
      </c>
      <c r="C105" s="11" t="s">
        <v>302</v>
      </c>
      <c r="D105" s="11" t="s">
        <v>303</v>
      </c>
      <c r="E105" s="13">
        <v>45</v>
      </c>
      <c r="F105" s="13">
        <v>50</v>
      </c>
      <c r="G105" s="7">
        <f t="shared" si="1"/>
        <v>0</v>
      </c>
      <c r="H105" s="13">
        <v>59</v>
      </c>
      <c r="I105" s="13">
        <v>4</v>
      </c>
      <c r="J105" s="13">
        <v>63</v>
      </c>
      <c r="K105" s="14">
        <v>4.2699999999999998E-6</v>
      </c>
    </row>
    <row r="106" spans="1:11" ht="44" customHeight="1" x14ac:dyDescent="0.15">
      <c r="A106" s="9">
        <v>3105</v>
      </c>
      <c r="B106" s="10" t="s">
        <v>304</v>
      </c>
      <c r="C106" s="11" t="s">
        <v>305</v>
      </c>
      <c r="D106" s="11" t="s">
        <v>306</v>
      </c>
      <c r="E106" s="13">
        <v>26</v>
      </c>
      <c r="F106" s="13">
        <v>52</v>
      </c>
      <c r="G106" s="7">
        <f t="shared" si="1"/>
        <v>0</v>
      </c>
      <c r="H106" s="13">
        <v>85</v>
      </c>
      <c r="I106" s="13">
        <v>4</v>
      </c>
      <c r="J106" s="13">
        <v>89</v>
      </c>
      <c r="K106" s="14">
        <v>5.57E-6</v>
      </c>
    </row>
    <row r="107" spans="1:11" ht="92" customHeight="1" x14ac:dyDescent="0.15">
      <c r="A107" s="9">
        <v>7182</v>
      </c>
      <c r="B107" s="10" t="s">
        <v>307</v>
      </c>
      <c r="C107" s="11" t="s">
        <v>308</v>
      </c>
      <c r="D107" s="11" t="s">
        <v>309</v>
      </c>
      <c r="E107" s="13">
        <v>15</v>
      </c>
      <c r="F107" s="13">
        <v>4</v>
      </c>
      <c r="G107" s="7">
        <f t="shared" si="1"/>
        <v>0</v>
      </c>
      <c r="H107" s="13">
        <v>63</v>
      </c>
      <c r="I107" s="13">
        <v>4</v>
      </c>
      <c r="J107" s="13">
        <v>67</v>
      </c>
      <c r="K107" s="14">
        <v>4.4700000000000004E-6</v>
      </c>
    </row>
    <row r="108" spans="1:11" ht="80" customHeight="1" x14ac:dyDescent="0.15">
      <c r="A108" s="9">
        <v>6167</v>
      </c>
      <c r="B108" s="10" t="s">
        <v>310</v>
      </c>
      <c r="C108" s="11" t="s">
        <v>311</v>
      </c>
      <c r="D108" s="11" t="s">
        <v>312</v>
      </c>
      <c r="E108" s="13">
        <v>96</v>
      </c>
      <c r="F108" s="13">
        <v>436</v>
      </c>
      <c r="G108" s="7">
        <f t="shared" si="1"/>
        <v>0</v>
      </c>
      <c r="H108" s="13">
        <v>108</v>
      </c>
      <c r="I108" s="13">
        <v>4</v>
      </c>
      <c r="J108" s="13">
        <v>112</v>
      </c>
      <c r="K108" s="14">
        <v>6.72E-6</v>
      </c>
    </row>
    <row r="109" spans="1:11" ht="80" customHeight="1" x14ac:dyDescent="0.15">
      <c r="A109" s="9">
        <v>1758</v>
      </c>
      <c r="B109" s="10" t="s">
        <v>313</v>
      </c>
      <c r="C109" s="11" t="s">
        <v>314</v>
      </c>
      <c r="D109" s="11" t="s">
        <v>315</v>
      </c>
      <c r="E109" s="12"/>
      <c r="F109" s="13">
        <v>17</v>
      </c>
      <c r="G109" s="7">
        <f t="shared" si="1"/>
        <v>0</v>
      </c>
      <c r="H109" s="13">
        <v>0</v>
      </c>
      <c r="I109" s="13">
        <v>1</v>
      </c>
      <c r="J109" s="13">
        <v>1</v>
      </c>
      <c r="K109" s="13">
        <v>0</v>
      </c>
    </row>
    <row r="110" spans="1:11" ht="44" customHeight="1" x14ac:dyDescent="0.15">
      <c r="A110" s="9">
        <v>1632</v>
      </c>
      <c r="B110" s="10" t="s">
        <v>316</v>
      </c>
      <c r="C110" s="11" t="s">
        <v>317</v>
      </c>
      <c r="D110" s="11" t="s">
        <v>72</v>
      </c>
      <c r="E110" s="13">
        <v>28</v>
      </c>
      <c r="F110" s="13">
        <v>196</v>
      </c>
      <c r="G110" s="7">
        <f t="shared" si="1"/>
        <v>0</v>
      </c>
      <c r="H110" s="13">
        <v>81</v>
      </c>
      <c r="I110" s="13">
        <v>4</v>
      </c>
      <c r="J110" s="13">
        <v>85</v>
      </c>
      <c r="K110" s="15">
        <v>5.4628999999999998E-6</v>
      </c>
    </row>
    <row r="111" spans="1:11" ht="68" customHeight="1" x14ac:dyDescent="0.15">
      <c r="A111" s="9">
        <v>5283</v>
      </c>
      <c r="B111" s="10" t="s">
        <v>318</v>
      </c>
      <c r="C111" s="11" t="s">
        <v>319</v>
      </c>
      <c r="D111" s="11" t="s">
        <v>320</v>
      </c>
      <c r="E111" s="12"/>
      <c r="F111" s="13">
        <v>17</v>
      </c>
      <c r="G111" s="7">
        <f t="shared" si="1"/>
        <v>0</v>
      </c>
      <c r="H111" s="13">
        <v>0</v>
      </c>
      <c r="I111" s="13">
        <v>1</v>
      </c>
      <c r="J111" s="13">
        <v>1</v>
      </c>
      <c r="K111" s="13">
        <v>0</v>
      </c>
    </row>
    <row r="112" spans="1:11" ht="116" customHeight="1" x14ac:dyDescent="0.15">
      <c r="A112" s="9">
        <v>737</v>
      </c>
      <c r="B112" s="10" t="s">
        <v>321</v>
      </c>
      <c r="C112" s="11" t="s">
        <v>322</v>
      </c>
      <c r="D112" s="11" t="s">
        <v>323</v>
      </c>
      <c r="E112" s="12"/>
      <c r="F112" s="13">
        <v>15</v>
      </c>
      <c r="G112" s="7">
        <f t="shared" si="1"/>
        <v>0</v>
      </c>
      <c r="H112" s="13">
        <v>0</v>
      </c>
      <c r="I112" s="13">
        <v>1</v>
      </c>
      <c r="J112" s="13">
        <v>1</v>
      </c>
      <c r="K112" s="13">
        <v>0</v>
      </c>
    </row>
    <row r="113" spans="1:11" ht="80" customHeight="1" x14ac:dyDescent="0.15">
      <c r="A113" s="9">
        <v>37</v>
      </c>
      <c r="B113" s="10" t="s">
        <v>324</v>
      </c>
      <c r="C113" s="11" t="s">
        <v>325</v>
      </c>
      <c r="D113" s="11" t="s">
        <v>326</v>
      </c>
      <c r="E113" s="12"/>
      <c r="F113" s="13">
        <v>5</v>
      </c>
      <c r="G113" s="7">
        <f t="shared" si="1"/>
        <v>0</v>
      </c>
      <c r="H113" s="13">
        <v>110</v>
      </c>
      <c r="I113" s="13">
        <v>6</v>
      </c>
      <c r="J113" s="13">
        <v>116</v>
      </c>
      <c r="K113" s="14">
        <v>7.4800000000000004E-6</v>
      </c>
    </row>
    <row r="114" spans="1:11" ht="80" customHeight="1" x14ac:dyDescent="0.15">
      <c r="A114" s="9">
        <v>61</v>
      </c>
      <c r="B114" s="10" t="s">
        <v>327</v>
      </c>
      <c r="C114" s="11" t="s">
        <v>328</v>
      </c>
      <c r="D114" s="11" t="s">
        <v>329</v>
      </c>
      <c r="E114" s="13">
        <v>600</v>
      </c>
      <c r="F114" s="13">
        <v>200</v>
      </c>
      <c r="G114" s="7">
        <f t="shared" si="1"/>
        <v>0</v>
      </c>
      <c r="H114" s="13">
        <v>129</v>
      </c>
      <c r="I114" s="13">
        <v>4</v>
      </c>
      <c r="J114" s="13">
        <v>133</v>
      </c>
      <c r="K114" s="14">
        <v>7.7700000000000001E-6</v>
      </c>
    </row>
    <row r="115" spans="1:11" ht="68" customHeight="1" x14ac:dyDescent="0.15">
      <c r="A115" s="9">
        <v>1438</v>
      </c>
      <c r="B115" s="10" t="s">
        <v>330</v>
      </c>
      <c r="C115" s="11" t="s">
        <v>331</v>
      </c>
      <c r="D115" s="11" t="s">
        <v>332</v>
      </c>
      <c r="E115" s="12"/>
      <c r="F115" s="13">
        <v>5</v>
      </c>
      <c r="G115" s="7">
        <f t="shared" si="1"/>
        <v>0</v>
      </c>
      <c r="H115" s="13">
        <v>0</v>
      </c>
      <c r="I115" s="13">
        <v>1</v>
      </c>
      <c r="J115" s="13">
        <v>1</v>
      </c>
      <c r="K115" s="13">
        <v>0</v>
      </c>
    </row>
    <row r="116" spans="1:11" ht="56" customHeight="1" x14ac:dyDescent="0.15">
      <c r="A116" s="9">
        <v>472</v>
      </c>
      <c r="B116" s="10" t="s">
        <v>333</v>
      </c>
      <c r="C116" s="11" t="s">
        <v>334</v>
      </c>
      <c r="D116" s="11" t="s">
        <v>335</v>
      </c>
      <c r="E116" s="13">
        <v>11</v>
      </c>
      <c r="F116" s="13">
        <v>11</v>
      </c>
      <c r="G116" s="7">
        <f t="shared" si="1"/>
        <v>1</v>
      </c>
      <c r="H116" s="13">
        <v>84</v>
      </c>
      <c r="I116" s="13">
        <v>4</v>
      </c>
      <c r="J116" s="13">
        <v>88</v>
      </c>
      <c r="K116" s="14">
        <v>5.5199999999999997E-6</v>
      </c>
    </row>
    <row r="117" spans="1:11" ht="56" customHeight="1" x14ac:dyDescent="0.15">
      <c r="A117" s="9">
        <v>7141</v>
      </c>
      <c r="B117" s="10" t="s">
        <v>336</v>
      </c>
      <c r="C117" s="11" t="s">
        <v>337</v>
      </c>
      <c r="D117" s="11" t="s">
        <v>81</v>
      </c>
      <c r="E117" s="13">
        <v>6</v>
      </c>
      <c r="F117" s="13">
        <v>30</v>
      </c>
      <c r="G117" s="7">
        <f t="shared" si="1"/>
        <v>0</v>
      </c>
      <c r="H117" s="13">
        <v>81</v>
      </c>
      <c r="I117" s="13">
        <v>4</v>
      </c>
      <c r="J117" s="13">
        <v>85</v>
      </c>
      <c r="K117" s="14">
        <v>5.3700000000000003E-6</v>
      </c>
    </row>
    <row r="118" spans="1:11" ht="68" customHeight="1" x14ac:dyDescent="0.15">
      <c r="A118" s="9">
        <v>5816</v>
      </c>
      <c r="B118" s="10" t="s">
        <v>338</v>
      </c>
      <c r="C118" s="11" t="s">
        <v>339</v>
      </c>
      <c r="D118" s="11" t="s">
        <v>282</v>
      </c>
      <c r="E118" s="13">
        <v>240</v>
      </c>
      <c r="F118" s="13">
        <v>840</v>
      </c>
      <c r="G118" s="7">
        <f t="shared" si="1"/>
        <v>0</v>
      </c>
      <c r="H118" s="13">
        <v>78</v>
      </c>
      <c r="I118" s="13">
        <v>4</v>
      </c>
      <c r="J118" s="13">
        <v>82</v>
      </c>
      <c r="K118" s="14">
        <v>5.22E-6</v>
      </c>
    </row>
    <row r="119" spans="1:11" ht="56" customHeight="1" x14ac:dyDescent="0.15">
      <c r="A119" s="9">
        <v>5591</v>
      </c>
      <c r="B119" s="10" t="s">
        <v>340</v>
      </c>
      <c r="C119" s="11" t="s">
        <v>341</v>
      </c>
      <c r="D119" s="11" t="s">
        <v>342</v>
      </c>
      <c r="E119" s="12"/>
      <c r="F119" s="13">
        <v>6</v>
      </c>
      <c r="G119" s="7">
        <f t="shared" si="1"/>
        <v>0</v>
      </c>
      <c r="H119" s="13">
        <v>0</v>
      </c>
      <c r="I119" s="13">
        <v>1</v>
      </c>
      <c r="J119" s="13">
        <v>1</v>
      </c>
      <c r="K119" s="13">
        <v>0</v>
      </c>
    </row>
    <row r="120" spans="1:11" ht="68" customHeight="1" x14ac:dyDescent="0.15">
      <c r="A120" s="9">
        <v>2182</v>
      </c>
      <c r="B120" s="10" t="s">
        <v>343</v>
      </c>
      <c r="C120" s="11" t="s">
        <v>344</v>
      </c>
      <c r="D120" s="11" t="s">
        <v>345</v>
      </c>
      <c r="E120" s="12"/>
      <c r="F120" s="13">
        <v>80</v>
      </c>
      <c r="G120" s="7">
        <f t="shared" si="1"/>
        <v>0</v>
      </c>
      <c r="H120" s="13">
        <v>0</v>
      </c>
      <c r="I120" s="13">
        <v>1</v>
      </c>
      <c r="J120" s="13">
        <v>1</v>
      </c>
      <c r="K120" s="13">
        <v>0</v>
      </c>
    </row>
    <row r="121" spans="1:11" ht="68" customHeight="1" x14ac:dyDescent="0.15">
      <c r="A121" s="9">
        <v>1783</v>
      </c>
      <c r="B121" s="10" t="s">
        <v>346</v>
      </c>
      <c r="C121" s="11" t="s">
        <v>347</v>
      </c>
      <c r="D121" s="11" t="s">
        <v>348</v>
      </c>
      <c r="E121" s="12"/>
      <c r="F121" s="13">
        <v>195</v>
      </c>
      <c r="G121" s="7">
        <f t="shared" si="1"/>
        <v>0</v>
      </c>
      <c r="H121" s="13">
        <v>0</v>
      </c>
      <c r="I121" s="13">
        <v>1</v>
      </c>
      <c r="J121" s="13">
        <v>1</v>
      </c>
      <c r="K121" s="13">
        <v>0</v>
      </c>
    </row>
    <row r="122" spans="1:11" ht="44" customHeight="1" x14ac:dyDescent="0.15">
      <c r="A122" s="9">
        <v>5942</v>
      </c>
      <c r="B122" s="10" t="s">
        <v>349</v>
      </c>
      <c r="C122" s="11" t="s">
        <v>350</v>
      </c>
      <c r="D122" s="11" t="s">
        <v>312</v>
      </c>
      <c r="E122" s="13">
        <v>96</v>
      </c>
      <c r="F122" s="13">
        <v>16</v>
      </c>
      <c r="G122" s="7">
        <f t="shared" si="1"/>
        <v>0</v>
      </c>
      <c r="H122" s="13">
        <v>67</v>
      </c>
      <c r="I122" s="13">
        <v>4</v>
      </c>
      <c r="J122" s="13">
        <v>71</v>
      </c>
      <c r="K122" s="14">
        <v>4.6700000000000002E-6</v>
      </c>
    </row>
    <row r="123" spans="1:11" ht="80" customHeight="1" x14ac:dyDescent="0.15">
      <c r="A123" s="9">
        <v>5579</v>
      </c>
      <c r="B123" s="10" t="s">
        <v>351</v>
      </c>
      <c r="C123" s="11" t="s">
        <v>352</v>
      </c>
      <c r="D123" s="11" t="s">
        <v>353</v>
      </c>
      <c r="E123" s="12"/>
      <c r="F123" s="13">
        <v>296</v>
      </c>
      <c r="G123" s="7">
        <f t="shared" si="1"/>
        <v>0</v>
      </c>
      <c r="H123" s="13">
        <v>0</v>
      </c>
      <c r="I123" s="13">
        <v>1</v>
      </c>
      <c r="J123" s="13">
        <v>1</v>
      </c>
      <c r="K123" s="13">
        <v>0</v>
      </c>
    </row>
    <row r="124" spans="1:11" ht="68" customHeight="1" x14ac:dyDescent="0.15">
      <c r="A124" s="9">
        <v>6106</v>
      </c>
      <c r="B124" s="10" t="s">
        <v>354</v>
      </c>
      <c r="C124" s="11" t="s">
        <v>355</v>
      </c>
      <c r="D124" s="11" t="s">
        <v>356</v>
      </c>
      <c r="E124" s="12"/>
      <c r="F124" s="13">
        <v>160</v>
      </c>
      <c r="G124" s="7">
        <f t="shared" si="1"/>
        <v>0</v>
      </c>
      <c r="H124" s="13">
        <v>0</v>
      </c>
      <c r="I124" s="13">
        <v>1</v>
      </c>
      <c r="J124" s="13">
        <v>1</v>
      </c>
      <c r="K124" s="13">
        <v>0</v>
      </c>
    </row>
    <row r="125" spans="1:11" ht="80" customHeight="1" x14ac:dyDescent="0.15">
      <c r="A125" s="9">
        <v>786</v>
      </c>
      <c r="B125" s="10" t="s">
        <v>357</v>
      </c>
      <c r="C125" s="11" t="s">
        <v>358</v>
      </c>
      <c r="D125" s="11" t="s">
        <v>202</v>
      </c>
      <c r="E125" s="13">
        <v>540</v>
      </c>
      <c r="F125" s="13">
        <v>3</v>
      </c>
      <c r="G125" s="7">
        <f t="shared" si="1"/>
        <v>0</v>
      </c>
      <c r="H125" s="13">
        <v>100</v>
      </c>
      <c r="I125" s="13">
        <v>4</v>
      </c>
      <c r="J125" s="13">
        <v>104</v>
      </c>
      <c r="K125" s="14">
        <v>6.3199999999999996E-6</v>
      </c>
    </row>
    <row r="126" spans="1:11" ht="104" customHeight="1" x14ac:dyDescent="0.15">
      <c r="A126" s="9">
        <v>95</v>
      </c>
      <c r="B126" s="10" t="s">
        <v>359</v>
      </c>
      <c r="C126" s="11" t="s">
        <v>360</v>
      </c>
      <c r="D126" s="11" t="s">
        <v>361</v>
      </c>
      <c r="E126" s="12"/>
      <c r="F126" s="13">
        <v>64</v>
      </c>
      <c r="G126" s="7">
        <f t="shared" si="1"/>
        <v>0</v>
      </c>
      <c r="H126" s="13">
        <v>89</v>
      </c>
      <c r="I126" s="13">
        <v>7</v>
      </c>
      <c r="J126" s="13">
        <v>96</v>
      </c>
      <c r="K126" s="14">
        <v>6.7599999999999997E-6</v>
      </c>
    </row>
    <row r="127" spans="1:11" ht="68" customHeight="1" x14ac:dyDescent="0.15">
      <c r="A127" s="9">
        <v>7258</v>
      </c>
      <c r="B127" s="10" t="s">
        <v>362</v>
      </c>
      <c r="C127" s="11" t="s">
        <v>363</v>
      </c>
      <c r="D127" s="11" t="s">
        <v>364</v>
      </c>
      <c r="E127" s="12"/>
      <c r="F127" s="13">
        <v>38000</v>
      </c>
      <c r="G127" s="7">
        <f t="shared" si="1"/>
        <v>0</v>
      </c>
      <c r="H127" s="13">
        <v>0</v>
      </c>
      <c r="I127" s="13">
        <v>1</v>
      </c>
      <c r="J127" s="13">
        <v>1</v>
      </c>
      <c r="K127" s="13">
        <v>0</v>
      </c>
    </row>
    <row r="128" spans="1:11" ht="56" customHeight="1" x14ac:dyDescent="0.15">
      <c r="A128" s="9">
        <v>2542</v>
      </c>
      <c r="B128" s="10" t="s">
        <v>365</v>
      </c>
      <c r="C128" s="11" t="s">
        <v>366</v>
      </c>
      <c r="D128" s="11" t="s">
        <v>148</v>
      </c>
      <c r="E128" s="13">
        <v>5</v>
      </c>
      <c r="F128" s="13">
        <v>2</v>
      </c>
      <c r="G128" s="7">
        <f t="shared" si="1"/>
        <v>0</v>
      </c>
      <c r="H128" s="13">
        <v>97</v>
      </c>
      <c r="I128" s="13">
        <v>4</v>
      </c>
      <c r="J128" s="13">
        <v>101</v>
      </c>
      <c r="K128" s="14">
        <v>6.1700000000000002E-6</v>
      </c>
    </row>
    <row r="129" spans="1:11" ht="140" customHeight="1" x14ac:dyDescent="0.15">
      <c r="A129" s="9">
        <v>3803</v>
      </c>
      <c r="B129" s="10" t="s">
        <v>367</v>
      </c>
      <c r="C129" s="11" t="s">
        <v>368</v>
      </c>
      <c r="D129" s="20" t="s">
        <v>369</v>
      </c>
      <c r="E129" s="12">
        <v>264</v>
      </c>
      <c r="F129" s="13">
        <v>264</v>
      </c>
      <c r="G129" s="7">
        <f t="shared" si="1"/>
        <v>1</v>
      </c>
      <c r="H129" s="13">
        <v>112</v>
      </c>
      <c r="I129" s="13">
        <v>120</v>
      </c>
      <c r="J129" s="13">
        <v>232</v>
      </c>
      <c r="K129" s="14">
        <v>4.5200000000000001E-5</v>
      </c>
    </row>
    <row r="130" spans="1:11" ht="68" customHeight="1" x14ac:dyDescent="0.15">
      <c r="A130" s="9">
        <v>676</v>
      </c>
      <c r="B130" s="10" t="s">
        <v>370</v>
      </c>
      <c r="C130" s="11" t="s">
        <v>371</v>
      </c>
      <c r="D130" s="11" t="s">
        <v>372</v>
      </c>
      <c r="E130" s="12"/>
      <c r="F130" s="13">
        <v>54</v>
      </c>
      <c r="G130" s="7">
        <f t="shared" si="1"/>
        <v>0</v>
      </c>
      <c r="H130" s="13">
        <v>0</v>
      </c>
      <c r="I130" s="13">
        <v>1</v>
      </c>
      <c r="J130" s="13">
        <v>1</v>
      </c>
      <c r="K130" s="13">
        <v>0</v>
      </c>
    </row>
    <row r="131" spans="1:11" ht="68" customHeight="1" x14ac:dyDescent="0.15">
      <c r="A131" s="9">
        <v>1569</v>
      </c>
      <c r="B131" s="10" t="s">
        <v>373</v>
      </c>
      <c r="C131" s="11" t="s">
        <v>374</v>
      </c>
      <c r="D131" s="11" t="s">
        <v>375</v>
      </c>
      <c r="E131" s="12"/>
      <c r="F131" s="13">
        <v>10</v>
      </c>
      <c r="G131" s="7">
        <f t="shared" si="1"/>
        <v>0</v>
      </c>
      <c r="H131" s="13">
        <v>0</v>
      </c>
      <c r="I131" s="13">
        <v>1</v>
      </c>
      <c r="J131" s="13">
        <v>1</v>
      </c>
      <c r="K131" s="13">
        <v>0</v>
      </c>
    </row>
    <row r="132" spans="1:11" ht="68" customHeight="1" x14ac:dyDescent="0.15">
      <c r="A132" s="9">
        <v>3103</v>
      </c>
      <c r="B132" s="10" t="s">
        <v>376</v>
      </c>
      <c r="C132" s="11" t="s">
        <v>377</v>
      </c>
      <c r="D132" s="11" t="s">
        <v>378</v>
      </c>
      <c r="E132" s="12"/>
      <c r="F132" s="13">
        <v>1</v>
      </c>
      <c r="G132" s="7">
        <f t="shared" ref="G132:G195" si="2">IF(OR(ISBLANK(E132), ISBLANK(F132)), 0, IF(E132=F132, 1, 0))</f>
        <v>0</v>
      </c>
      <c r="H132" s="13">
        <v>0</v>
      </c>
      <c r="I132" s="13">
        <v>1</v>
      </c>
      <c r="J132" s="13">
        <v>1</v>
      </c>
      <c r="K132" s="13">
        <v>0</v>
      </c>
    </row>
    <row r="133" spans="1:11" ht="68" customHeight="1" x14ac:dyDescent="0.15">
      <c r="A133" s="9">
        <v>3381</v>
      </c>
      <c r="B133" s="10" t="s">
        <v>379</v>
      </c>
      <c r="C133" s="11" t="s">
        <v>380</v>
      </c>
      <c r="D133" s="11" t="s">
        <v>381</v>
      </c>
      <c r="E133" s="12"/>
      <c r="F133" s="13">
        <v>85</v>
      </c>
      <c r="G133" s="7">
        <f t="shared" si="2"/>
        <v>0</v>
      </c>
      <c r="H133" s="13">
        <v>0</v>
      </c>
      <c r="I133" s="13">
        <v>1</v>
      </c>
      <c r="J133" s="13">
        <v>1</v>
      </c>
      <c r="K133" s="13">
        <v>0</v>
      </c>
    </row>
    <row r="134" spans="1:11" ht="56" customHeight="1" x14ac:dyDescent="0.15">
      <c r="A134" s="9">
        <v>3742</v>
      </c>
      <c r="B134" s="10" t="s">
        <v>382</v>
      </c>
      <c r="C134" s="11" t="s">
        <v>383</v>
      </c>
      <c r="D134" s="11" t="s">
        <v>384</v>
      </c>
      <c r="E134" s="13">
        <v>90</v>
      </c>
      <c r="F134" s="13">
        <v>45</v>
      </c>
      <c r="G134" s="7">
        <f t="shared" si="2"/>
        <v>0</v>
      </c>
      <c r="H134" s="13">
        <v>124</v>
      </c>
      <c r="I134" s="13">
        <v>4</v>
      </c>
      <c r="J134" s="13">
        <v>128</v>
      </c>
      <c r="K134" s="14">
        <v>7.52E-6</v>
      </c>
    </row>
    <row r="135" spans="1:11" ht="68" customHeight="1" x14ac:dyDescent="0.15">
      <c r="A135" s="9">
        <v>4030</v>
      </c>
      <c r="B135" s="10" t="s">
        <v>385</v>
      </c>
      <c r="C135" s="11" t="s">
        <v>386</v>
      </c>
      <c r="D135" s="11" t="s">
        <v>387</v>
      </c>
      <c r="E135" s="12"/>
      <c r="F135" s="13">
        <v>24</v>
      </c>
      <c r="G135" s="7">
        <f t="shared" si="2"/>
        <v>0</v>
      </c>
      <c r="H135" s="13">
        <v>0</v>
      </c>
      <c r="I135" s="13">
        <v>1</v>
      </c>
      <c r="J135" s="13">
        <v>1</v>
      </c>
      <c r="K135" s="13">
        <v>0</v>
      </c>
    </row>
    <row r="136" spans="1:11" ht="44" customHeight="1" x14ac:dyDescent="0.15">
      <c r="A136" s="9">
        <v>5658</v>
      </c>
      <c r="B136" s="10" t="s">
        <v>388</v>
      </c>
      <c r="C136" s="11" t="s">
        <v>389</v>
      </c>
      <c r="D136" s="11" t="s">
        <v>154</v>
      </c>
      <c r="E136" s="13">
        <v>20</v>
      </c>
      <c r="F136" s="13">
        <v>15</v>
      </c>
      <c r="G136" s="7">
        <f t="shared" si="2"/>
        <v>0</v>
      </c>
      <c r="H136" s="13">
        <v>122</v>
      </c>
      <c r="I136" s="13">
        <v>4</v>
      </c>
      <c r="J136" s="13">
        <v>126</v>
      </c>
      <c r="K136" s="14">
        <v>7.4200000000000001E-6</v>
      </c>
    </row>
    <row r="137" spans="1:11" ht="56" customHeight="1" x14ac:dyDescent="0.15">
      <c r="A137" s="9">
        <v>3770</v>
      </c>
      <c r="B137" s="10" t="s">
        <v>390</v>
      </c>
      <c r="C137" s="11" t="s">
        <v>391</v>
      </c>
      <c r="D137" s="11" t="s">
        <v>392</v>
      </c>
      <c r="E137" s="12"/>
      <c r="F137" s="13">
        <v>18</v>
      </c>
      <c r="G137" s="7">
        <f t="shared" si="2"/>
        <v>0</v>
      </c>
      <c r="H137" s="13">
        <v>0</v>
      </c>
      <c r="I137" s="13">
        <v>1</v>
      </c>
      <c r="J137" s="13">
        <v>1</v>
      </c>
      <c r="K137" s="13">
        <v>0</v>
      </c>
    </row>
    <row r="138" spans="1:11" ht="56" customHeight="1" x14ac:dyDescent="0.15">
      <c r="A138" s="9">
        <v>2885</v>
      </c>
      <c r="B138" s="10" t="s">
        <v>393</v>
      </c>
      <c r="C138" s="11" t="s">
        <v>394</v>
      </c>
      <c r="D138" s="11" t="s">
        <v>300</v>
      </c>
      <c r="E138" s="13">
        <v>25</v>
      </c>
      <c r="F138" s="13">
        <v>40</v>
      </c>
      <c r="G138" s="7">
        <f t="shared" si="2"/>
        <v>0</v>
      </c>
      <c r="H138" s="13">
        <v>72</v>
      </c>
      <c r="I138" s="13">
        <v>4</v>
      </c>
      <c r="J138" s="13">
        <v>76</v>
      </c>
      <c r="K138" s="14">
        <v>4.9200000000000003E-6</v>
      </c>
    </row>
    <row r="139" spans="1:11" ht="68" customHeight="1" x14ac:dyDescent="0.15">
      <c r="A139" s="9">
        <v>2083</v>
      </c>
      <c r="B139" s="10" t="s">
        <v>395</v>
      </c>
      <c r="C139" s="11" t="s">
        <v>396</v>
      </c>
      <c r="D139" s="11" t="s">
        <v>309</v>
      </c>
      <c r="E139" s="13">
        <v>15</v>
      </c>
      <c r="F139" s="13">
        <v>84</v>
      </c>
      <c r="G139" s="7">
        <f t="shared" si="2"/>
        <v>0</v>
      </c>
      <c r="H139" s="13">
        <v>78</v>
      </c>
      <c r="I139" s="13">
        <v>4</v>
      </c>
      <c r="J139" s="13">
        <v>82</v>
      </c>
      <c r="K139" s="14">
        <v>5.22E-6</v>
      </c>
    </row>
    <row r="140" spans="1:11" ht="56" customHeight="1" x14ac:dyDescent="0.15">
      <c r="A140" s="9">
        <v>6577</v>
      </c>
      <c r="B140" s="10" t="s">
        <v>397</v>
      </c>
      <c r="C140" s="11" t="s">
        <v>398</v>
      </c>
      <c r="D140" s="11" t="s">
        <v>399</v>
      </c>
      <c r="E140" s="12"/>
      <c r="F140" s="13">
        <v>5</v>
      </c>
      <c r="G140" s="7">
        <f t="shared" si="2"/>
        <v>0</v>
      </c>
      <c r="H140" s="13">
        <v>0</v>
      </c>
      <c r="I140" s="13">
        <v>1</v>
      </c>
      <c r="J140" s="13">
        <v>1</v>
      </c>
      <c r="K140" s="13">
        <v>0</v>
      </c>
    </row>
    <row r="141" spans="1:11" ht="44" customHeight="1" x14ac:dyDescent="0.15">
      <c r="A141" s="9">
        <v>5168</v>
      </c>
      <c r="B141" s="10" t="s">
        <v>400</v>
      </c>
      <c r="C141" s="11" t="s">
        <v>401</v>
      </c>
      <c r="D141" s="11" t="s">
        <v>402</v>
      </c>
      <c r="E141" s="13">
        <v>102</v>
      </c>
      <c r="F141" s="13">
        <v>51</v>
      </c>
      <c r="G141" s="7">
        <f t="shared" si="2"/>
        <v>0</v>
      </c>
      <c r="H141" s="13">
        <v>78</v>
      </c>
      <c r="I141" s="13">
        <v>4</v>
      </c>
      <c r="J141" s="13">
        <v>82</v>
      </c>
      <c r="K141" s="14">
        <v>5.22E-6</v>
      </c>
    </row>
    <row r="142" spans="1:11" ht="68" customHeight="1" x14ac:dyDescent="0.15">
      <c r="A142" s="9">
        <v>1718</v>
      </c>
      <c r="B142" s="10" t="s">
        <v>403</v>
      </c>
      <c r="C142" s="11" t="s">
        <v>404</v>
      </c>
      <c r="D142" s="11" t="s">
        <v>405</v>
      </c>
      <c r="E142" s="13">
        <v>40</v>
      </c>
      <c r="F142" s="13">
        <v>86</v>
      </c>
      <c r="G142" s="7">
        <f t="shared" si="2"/>
        <v>0</v>
      </c>
      <c r="H142" s="13">
        <v>89</v>
      </c>
      <c r="I142" s="13">
        <v>4</v>
      </c>
      <c r="J142" s="13">
        <v>93</v>
      </c>
      <c r="K142" s="14">
        <v>5.7699999999999998E-6</v>
      </c>
    </row>
    <row r="143" spans="1:11" ht="68" customHeight="1" x14ac:dyDescent="0.15">
      <c r="A143" s="9">
        <v>3612</v>
      </c>
      <c r="B143" s="10" t="s">
        <v>406</v>
      </c>
      <c r="C143" s="11" t="s">
        <v>407</v>
      </c>
      <c r="D143" s="11" t="s">
        <v>217</v>
      </c>
      <c r="E143" s="13">
        <v>1080</v>
      </c>
      <c r="F143" s="13">
        <v>108</v>
      </c>
      <c r="G143" s="7">
        <f t="shared" si="2"/>
        <v>0</v>
      </c>
      <c r="H143" s="13">
        <v>86</v>
      </c>
      <c r="I143" s="13">
        <v>5</v>
      </c>
      <c r="J143" s="13">
        <v>91</v>
      </c>
      <c r="K143" s="14">
        <v>5.9499999999999998E-6</v>
      </c>
    </row>
    <row r="144" spans="1:11" ht="92" customHeight="1" x14ac:dyDescent="0.15">
      <c r="A144" s="9">
        <v>1902</v>
      </c>
      <c r="B144" s="10" t="s">
        <v>408</v>
      </c>
      <c r="C144" s="11" t="s">
        <v>409</v>
      </c>
      <c r="D144" s="11" t="s">
        <v>410</v>
      </c>
      <c r="E144" s="12"/>
      <c r="F144" s="13">
        <v>605</v>
      </c>
      <c r="G144" s="7">
        <f t="shared" si="2"/>
        <v>0</v>
      </c>
      <c r="H144" s="13">
        <v>0</v>
      </c>
      <c r="I144" s="13">
        <v>1</v>
      </c>
      <c r="J144" s="13">
        <v>1</v>
      </c>
      <c r="K144" s="13">
        <v>0</v>
      </c>
    </row>
    <row r="145" spans="1:11" ht="68" customHeight="1" x14ac:dyDescent="0.15">
      <c r="A145" s="9">
        <v>1128</v>
      </c>
      <c r="B145" s="10" t="s">
        <v>411</v>
      </c>
      <c r="C145" s="11" t="s">
        <v>412</v>
      </c>
      <c r="D145" s="11" t="s">
        <v>413</v>
      </c>
      <c r="E145" s="12"/>
      <c r="F145" s="13">
        <v>3</v>
      </c>
      <c r="G145" s="7">
        <f t="shared" si="2"/>
        <v>0</v>
      </c>
      <c r="H145" s="13">
        <v>0</v>
      </c>
      <c r="I145" s="13">
        <v>1</v>
      </c>
      <c r="J145" s="13">
        <v>1</v>
      </c>
      <c r="K145" s="13">
        <v>0</v>
      </c>
    </row>
    <row r="146" spans="1:11" ht="44" customHeight="1" x14ac:dyDescent="0.15">
      <c r="A146" s="9">
        <v>1168</v>
      </c>
      <c r="B146" s="10" t="s">
        <v>414</v>
      </c>
      <c r="C146" s="11" t="s">
        <v>415</v>
      </c>
      <c r="D146" s="11" t="s">
        <v>405</v>
      </c>
      <c r="E146" s="13">
        <v>40</v>
      </c>
      <c r="F146" s="13">
        <v>60</v>
      </c>
      <c r="G146" s="7">
        <f t="shared" si="2"/>
        <v>0</v>
      </c>
      <c r="H146" s="13">
        <v>81</v>
      </c>
      <c r="I146" s="13">
        <v>4</v>
      </c>
      <c r="J146" s="13">
        <v>85</v>
      </c>
      <c r="K146" s="14">
        <v>5.3700000000000003E-6</v>
      </c>
    </row>
    <row r="147" spans="1:11" ht="56" customHeight="1" x14ac:dyDescent="0.15">
      <c r="A147" s="9">
        <v>4582</v>
      </c>
      <c r="B147" s="10" t="s">
        <v>416</v>
      </c>
      <c r="C147" s="11" t="s">
        <v>417</v>
      </c>
      <c r="D147" s="11" t="s">
        <v>418</v>
      </c>
      <c r="E147" s="12"/>
      <c r="F147" s="13">
        <v>75</v>
      </c>
      <c r="G147" s="7">
        <f t="shared" si="2"/>
        <v>0</v>
      </c>
      <c r="H147" s="13">
        <v>0</v>
      </c>
      <c r="I147" s="13">
        <v>1</v>
      </c>
      <c r="J147" s="13">
        <v>1</v>
      </c>
      <c r="K147" s="13">
        <v>0</v>
      </c>
    </row>
    <row r="148" spans="1:11" ht="44" customHeight="1" x14ac:dyDescent="0.15">
      <c r="A148" s="9">
        <v>4687</v>
      </c>
      <c r="B148" s="10" t="s">
        <v>419</v>
      </c>
      <c r="C148" s="11" t="s">
        <v>420</v>
      </c>
      <c r="D148" s="11" t="s">
        <v>13</v>
      </c>
      <c r="E148" s="13">
        <v>10</v>
      </c>
      <c r="F148" s="13">
        <v>20</v>
      </c>
      <c r="G148" s="7">
        <f t="shared" si="2"/>
        <v>0</v>
      </c>
      <c r="H148" s="13">
        <v>102</v>
      </c>
      <c r="I148" s="13">
        <v>4</v>
      </c>
      <c r="J148" s="13">
        <v>106</v>
      </c>
      <c r="K148" s="14">
        <v>6.4200000000000004E-6</v>
      </c>
    </row>
    <row r="149" spans="1:11" ht="56" customHeight="1" x14ac:dyDescent="0.15">
      <c r="A149" s="9">
        <v>5815</v>
      </c>
      <c r="B149" s="10" t="s">
        <v>421</v>
      </c>
      <c r="C149" s="11" t="s">
        <v>422</v>
      </c>
      <c r="D149" s="11" t="s">
        <v>423</v>
      </c>
      <c r="E149" s="13">
        <v>10000</v>
      </c>
      <c r="F149" s="13">
        <v>10000</v>
      </c>
      <c r="G149" s="7">
        <f t="shared" si="2"/>
        <v>1</v>
      </c>
      <c r="H149" s="13">
        <v>63</v>
      </c>
      <c r="I149" s="13">
        <v>5</v>
      </c>
      <c r="J149" s="13">
        <v>68</v>
      </c>
      <c r="K149" s="18">
        <v>4.7999999999999998E-6</v>
      </c>
    </row>
    <row r="150" spans="1:11" ht="92" customHeight="1" x14ac:dyDescent="0.15">
      <c r="A150" s="9">
        <v>4347</v>
      </c>
      <c r="B150" s="10" t="s">
        <v>424</v>
      </c>
      <c r="C150" s="11" t="s">
        <v>425</v>
      </c>
      <c r="D150" s="11" t="s">
        <v>426</v>
      </c>
      <c r="E150" s="12"/>
      <c r="F150" s="13">
        <v>112</v>
      </c>
      <c r="G150" s="7">
        <f t="shared" si="2"/>
        <v>0</v>
      </c>
      <c r="H150" s="13">
        <v>0</v>
      </c>
      <c r="I150" s="13">
        <v>1</v>
      </c>
      <c r="J150" s="13">
        <v>1</v>
      </c>
      <c r="K150" s="13">
        <v>0</v>
      </c>
    </row>
    <row r="151" spans="1:11" ht="44" customHeight="1" x14ac:dyDescent="0.15">
      <c r="A151" s="9">
        <v>4690</v>
      </c>
      <c r="B151" s="10" t="s">
        <v>427</v>
      </c>
      <c r="C151" s="11" t="s">
        <v>428</v>
      </c>
      <c r="D151" s="11" t="s">
        <v>429</v>
      </c>
      <c r="E151" s="12"/>
      <c r="F151" s="13">
        <v>3</v>
      </c>
      <c r="G151" s="7">
        <f t="shared" si="2"/>
        <v>0</v>
      </c>
      <c r="H151" s="13">
        <v>0</v>
      </c>
      <c r="I151" s="13">
        <v>1</v>
      </c>
      <c r="J151" s="13">
        <v>1</v>
      </c>
      <c r="K151" s="13">
        <v>0</v>
      </c>
    </row>
    <row r="152" spans="1:11" ht="44" customHeight="1" x14ac:dyDescent="0.15">
      <c r="A152" s="9">
        <v>3910</v>
      </c>
      <c r="B152" s="10" t="s">
        <v>430</v>
      </c>
      <c r="C152" s="11" t="s">
        <v>431</v>
      </c>
      <c r="D152" s="11" t="s">
        <v>101</v>
      </c>
      <c r="E152" s="13">
        <v>46</v>
      </c>
      <c r="F152" s="13">
        <v>66</v>
      </c>
      <c r="G152" s="7">
        <f t="shared" si="2"/>
        <v>0</v>
      </c>
      <c r="H152" s="13">
        <v>64</v>
      </c>
      <c r="I152" s="13">
        <v>4</v>
      </c>
      <c r="J152" s="13">
        <v>68</v>
      </c>
      <c r="K152" s="14">
        <v>4.5199999999999999E-6</v>
      </c>
    </row>
    <row r="153" spans="1:11" ht="56" customHeight="1" x14ac:dyDescent="0.15">
      <c r="A153" s="9">
        <v>3649</v>
      </c>
      <c r="B153" s="10" t="s">
        <v>432</v>
      </c>
      <c r="C153" s="11" t="s">
        <v>433</v>
      </c>
      <c r="D153" s="11" t="s">
        <v>434</v>
      </c>
      <c r="E153" s="12"/>
      <c r="F153" s="13">
        <v>1158</v>
      </c>
      <c r="G153" s="7">
        <f t="shared" si="2"/>
        <v>0</v>
      </c>
      <c r="H153" s="13">
        <v>0</v>
      </c>
      <c r="I153" s="13">
        <v>1</v>
      </c>
      <c r="J153" s="13">
        <v>1</v>
      </c>
      <c r="K153" s="13">
        <v>0</v>
      </c>
    </row>
    <row r="154" spans="1:11" ht="176" customHeight="1" x14ac:dyDescent="0.15">
      <c r="A154" s="9">
        <v>5204</v>
      </c>
      <c r="B154" s="10" t="s">
        <v>435</v>
      </c>
      <c r="C154" s="11" t="s">
        <v>436</v>
      </c>
      <c r="D154" s="11" t="s">
        <v>437</v>
      </c>
      <c r="E154" s="13">
        <v>5</v>
      </c>
      <c r="F154" s="13">
        <v>5</v>
      </c>
      <c r="G154" s="7">
        <f t="shared" si="2"/>
        <v>1</v>
      </c>
      <c r="H154" s="13">
        <v>107</v>
      </c>
      <c r="I154" s="13">
        <v>106</v>
      </c>
      <c r="J154" s="13">
        <v>213</v>
      </c>
      <c r="K154" s="17">
        <v>4.09563E-5</v>
      </c>
    </row>
    <row r="155" spans="1:11" ht="224" customHeight="1" x14ac:dyDescent="0.15">
      <c r="A155" s="9">
        <v>748</v>
      </c>
      <c r="B155" s="10" t="s">
        <v>438</v>
      </c>
      <c r="C155" s="11" t="s">
        <v>439</v>
      </c>
      <c r="D155" s="11" t="s">
        <v>440</v>
      </c>
      <c r="E155" s="12">
        <v>9</v>
      </c>
      <c r="F155" s="13">
        <v>9</v>
      </c>
      <c r="G155" s="7">
        <f t="shared" si="2"/>
        <v>1</v>
      </c>
      <c r="H155" s="13">
        <v>90</v>
      </c>
      <c r="I155" s="13">
        <v>177</v>
      </c>
      <c r="J155" s="13">
        <v>267</v>
      </c>
      <c r="K155" s="15">
        <v>6.3875999999999996E-5</v>
      </c>
    </row>
    <row r="156" spans="1:11" ht="44" customHeight="1" x14ac:dyDescent="0.15">
      <c r="A156" s="9">
        <v>3918</v>
      </c>
      <c r="B156" s="10" t="s">
        <v>441</v>
      </c>
      <c r="C156" s="11" t="s">
        <v>442</v>
      </c>
      <c r="D156" s="11" t="s">
        <v>443</v>
      </c>
      <c r="E156" s="12"/>
      <c r="F156" s="13">
        <v>166</v>
      </c>
      <c r="G156" s="7">
        <f t="shared" si="2"/>
        <v>0</v>
      </c>
      <c r="H156" s="13">
        <v>0</v>
      </c>
      <c r="I156" s="13">
        <v>1</v>
      </c>
      <c r="J156" s="13">
        <v>1</v>
      </c>
      <c r="K156" s="13">
        <v>0</v>
      </c>
    </row>
    <row r="157" spans="1:11" ht="68" customHeight="1" x14ac:dyDescent="0.15">
      <c r="A157" s="9">
        <v>5755</v>
      </c>
      <c r="B157" s="10" t="s">
        <v>444</v>
      </c>
      <c r="C157" s="11" t="s">
        <v>445</v>
      </c>
      <c r="D157" s="11" t="s">
        <v>446</v>
      </c>
      <c r="E157" s="12"/>
      <c r="F157" s="13">
        <v>35</v>
      </c>
      <c r="G157" s="7">
        <f t="shared" si="2"/>
        <v>0</v>
      </c>
      <c r="H157" s="13">
        <v>0</v>
      </c>
      <c r="I157" s="13">
        <v>1</v>
      </c>
      <c r="J157" s="13">
        <v>1</v>
      </c>
      <c r="K157" s="13">
        <v>0</v>
      </c>
    </row>
    <row r="158" spans="1:11" ht="56" customHeight="1" x14ac:dyDescent="0.15">
      <c r="A158" s="9">
        <v>4622</v>
      </c>
      <c r="B158" s="10" t="s">
        <v>447</v>
      </c>
      <c r="C158" s="11" t="s">
        <v>448</v>
      </c>
      <c r="D158" s="11" t="s">
        <v>449</v>
      </c>
      <c r="E158" s="12"/>
      <c r="F158" s="13">
        <v>1</v>
      </c>
      <c r="G158" s="7">
        <f t="shared" si="2"/>
        <v>0</v>
      </c>
      <c r="H158" s="13">
        <v>0</v>
      </c>
      <c r="I158" s="13">
        <v>1</v>
      </c>
      <c r="J158" s="13">
        <v>1</v>
      </c>
      <c r="K158" s="13">
        <v>0</v>
      </c>
    </row>
    <row r="159" spans="1:11" ht="56" customHeight="1" x14ac:dyDescent="0.15">
      <c r="A159" s="9">
        <v>1880</v>
      </c>
      <c r="B159" s="10" t="s">
        <v>450</v>
      </c>
      <c r="C159" s="11" t="s">
        <v>451</v>
      </c>
      <c r="D159" s="11" t="s">
        <v>75</v>
      </c>
      <c r="E159" s="13">
        <v>4</v>
      </c>
      <c r="F159" s="13">
        <v>6</v>
      </c>
      <c r="G159" s="7">
        <f t="shared" si="2"/>
        <v>0</v>
      </c>
      <c r="H159" s="13">
        <v>98</v>
      </c>
      <c r="I159" s="13">
        <v>4</v>
      </c>
      <c r="J159" s="13">
        <v>102</v>
      </c>
      <c r="K159" s="14">
        <v>6.2199999999999997E-6</v>
      </c>
    </row>
    <row r="160" spans="1:11" ht="44" customHeight="1" x14ac:dyDescent="0.15">
      <c r="A160" s="9">
        <v>1740</v>
      </c>
      <c r="B160" s="10" t="s">
        <v>452</v>
      </c>
      <c r="C160" s="11" t="s">
        <v>453</v>
      </c>
      <c r="D160" s="11" t="s">
        <v>454</v>
      </c>
      <c r="E160" s="12"/>
      <c r="F160" s="13">
        <v>3450</v>
      </c>
      <c r="G160" s="7">
        <f t="shared" si="2"/>
        <v>0</v>
      </c>
      <c r="H160" s="13">
        <v>0</v>
      </c>
      <c r="I160" s="13">
        <v>1</v>
      </c>
      <c r="J160" s="13">
        <v>1</v>
      </c>
      <c r="K160" s="13">
        <v>0</v>
      </c>
    </row>
    <row r="161" spans="1:11" ht="56" customHeight="1" x14ac:dyDescent="0.15">
      <c r="A161" s="9">
        <v>1652</v>
      </c>
      <c r="B161" s="10" t="s">
        <v>455</v>
      </c>
      <c r="C161" s="11" t="s">
        <v>456</v>
      </c>
      <c r="D161" s="11" t="s">
        <v>183</v>
      </c>
      <c r="E161" s="13">
        <v>8</v>
      </c>
      <c r="F161" s="13">
        <v>30</v>
      </c>
      <c r="G161" s="7">
        <f t="shared" si="2"/>
        <v>0</v>
      </c>
      <c r="H161" s="13">
        <v>68</v>
      </c>
      <c r="I161" s="13">
        <v>4</v>
      </c>
      <c r="J161" s="13">
        <v>72</v>
      </c>
      <c r="K161" s="14">
        <v>4.7199999999999997E-6</v>
      </c>
    </row>
    <row r="162" spans="1:11" ht="104" customHeight="1" x14ac:dyDescent="0.15">
      <c r="A162" s="9">
        <v>1221</v>
      </c>
      <c r="B162" s="10" t="s">
        <v>457</v>
      </c>
      <c r="C162" s="11" t="s">
        <v>458</v>
      </c>
      <c r="D162" s="11" t="s">
        <v>459</v>
      </c>
      <c r="E162" s="12"/>
      <c r="F162" s="13">
        <v>99</v>
      </c>
      <c r="G162" s="7">
        <f t="shared" si="2"/>
        <v>0</v>
      </c>
      <c r="H162" s="13">
        <v>0</v>
      </c>
      <c r="I162" s="13">
        <v>1</v>
      </c>
      <c r="J162" s="13">
        <v>1</v>
      </c>
      <c r="K162" s="13">
        <v>0</v>
      </c>
    </row>
    <row r="163" spans="1:11" ht="80" customHeight="1" x14ac:dyDescent="0.15">
      <c r="A163" s="9">
        <v>6589</v>
      </c>
      <c r="B163" s="10" t="s">
        <v>460</v>
      </c>
      <c r="C163" s="11" t="s">
        <v>461</v>
      </c>
      <c r="D163" s="11" t="s">
        <v>19</v>
      </c>
      <c r="E163" s="13">
        <v>12</v>
      </c>
      <c r="F163" s="13">
        <v>3</v>
      </c>
      <c r="G163" s="7">
        <f t="shared" si="2"/>
        <v>0</v>
      </c>
      <c r="H163" s="13">
        <v>91</v>
      </c>
      <c r="I163" s="13">
        <v>4</v>
      </c>
      <c r="J163" s="13">
        <v>95</v>
      </c>
      <c r="K163" s="14">
        <v>5.8699999999999997E-6</v>
      </c>
    </row>
    <row r="164" spans="1:11" ht="68" customHeight="1" x14ac:dyDescent="0.15">
      <c r="A164" s="9">
        <v>319</v>
      </c>
      <c r="B164" s="10" t="s">
        <v>462</v>
      </c>
      <c r="C164" s="11" t="s">
        <v>463</v>
      </c>
      <c r="D164" s="11" t="s">
        <v>464</v>
      </c>
      <c r="E164" s="12"/>
      <c r="F164" s="13">
        <v>18</v>
      </c>
      <c r="G164" s="7">
        <f t="shared" si="2"/>
        <v>0</v>
      </c>
      <c r="H164" s="13">
        <v>0</v>
      </c>
      <c r="I164" s="13">
        <v>1</v>
      </c>
      <c r="J164" s="13">
        <v>1</v>
      </c>
      <c r="K164" s="13">
        <v>0</v>
      </c>
    </row>
    <row r="165" spans="1:11" ht="56" customHeight="1" x14ac:dyDescent="0.15">
      <c r="A165" s="9">
        <v>2157</v>
      </c>
      <c r="B165" s="10" t="s">
        <v>465</v>
      </c>
      <c r="C165" s="11" t="s">
        <v>466</v>
      </c>
      <c r="D165" s="11" t="s">
        <v>467</v>
      </c>
      <c r="E165" s="12"/>
      <c r="F165" s="13">
        <v>12</v>
      </c>
      <c r="G165" s="7">
        <f t="shared" si="2"/>
        <v>0</v>
      </c>
      <c r="H165" s="13">
        <v>0</v>
      </c>
      <c r="I165" s="13">
        <v>1</v>
      </c>
      <c r="J165" s="13">
        <v>1</v>
      </c>
      <c r="K165" s="13">
        <v>0</v>
      </c>
    </row>
    <row r="166" spans="1:11" ht="56" customHeight="1" x14ac:dyDescent="0.15">
      <c r="A166" s="9">
        <v>1352</v>
      </c>
      <c r="B166" s="10" t="s">
        <v>468</v>
      </c>
      <c r="C166" s="11" t="s">
        <v>469</v>
      </c>
      <c r="D166" s="11" t="s">
        <v>470</v>
      </c>
      <c r="E166" s="12"/>
      <c r="F166" s="13">
        <v>42000</v>
      </c>
      <c r="G166" s="7">
        <f t="shared" si="2"/>
        <v>0</v>
      </c>
      <c r="H166" s="13">
        <v>0</v>
      </c>
      <c r="I166" s="13">
        <v>1</v>
      </c>
      <c r="J166" s="13">
        <v>1</v>
      </c>
      <c r="K166" s="13">
        <v>0</v>
      </c>
    </row>
    <row r="167" spans="1:11" ht="68" customHeight="1" x14ac:dyDescent="0.15">
      <c r="A167" s="9">
        <v>1811</v>
      </c>
      <c r="B167" s="10" t="s">
        <v>471</v>
      </c>
      <c r="C167" s="11" t="s">
        <v>472</v>
      </c>
      <c r="D167" s="11" t="s">
        <v>473</v>
      </c>
      <c r="E167" s="12"/>
      <c r="F167" s="13">
        <v>20</v>
      </c>
      <c r="G167" s="7">
        <f t="shared" si="2"/>
        <v>0</v>
      </c>
      <c r="H167" s="13">
        <v>0</v>
      </c>
      <c r="I167" s="13">
        <v>1</v>
      </c>
      <c r="J167" s="13">
        <v>1</v>
      </c>
      <c r="K167" s="13">
        <v>0</v>
      </c>
    </row>
    <row r="168" spans="1:11" ht="80" customHeight="1" x14ac:dyDescent="0.15">
      <c r="A168" s="9">
        <v>3473</v>
      </c>
      <c r="B168" s="10" t="s">
        <v>474</v>
      </c>
      <c r="C168" s="11" t="s">
        <v>475</v>
      </c>
      <c r="D168" s="11" t="s">
        <v>476</v>
      </c>
      <c r="E168" s="12"/>
      <c r="F168" s="13">
        <v>9</v>
      </c>
      <c r="G168" s="7">
        <f t="shared" si="2"/>
        <v>0</v>
      </c>
      <c r="H168" s="13">
        <v>0</v>
      </c>
      <c r="I168" s="13">
        <v>1</v>
      </c>
      <c r="J168" s="13">
        <v>1</v>
      </c>
      <c r="K168" s="13">
        <v>0</v>
      </c>
    </row>
    <row r="169" spans="1:11" ht="44" customHeight="1" x14ac:dyDescent="0.15">
      <c r="A169" s="9">
        <v>3813</v>
      </c>
      <c r="B169" s="10" t="s">
        <v>477</v>
      </c>
      <c r="C169" s="11" t="s">
        <v>478</v>
      </c>
      <c r="D169" s="11" t="s">
        <v>19</v>
      </c>
      <c r="E169" s="13">
        <v>12</v>
      </c>
      <c r="F169" s="13">
        <v>6</v>
      </c>
      <c r="G169" s="7">
        <f t="shared" si="2"/>
        <v>0</v>
      </c>
      <c r="H169" s="13">
        <v>78</v>
      </c>
      <c r="I169" s="13">
        <v>4</v>
      </c>
      <c r="J169" s="13">
        <v>82</v>
      </c>
      <c r="K169" s="14">
        <v>5.22E-6</v>
      </c>
    </row>
    <row r="170" spans="1:11" ht="68" customHeight="1" x14ac:dyDescent="0.15">
      <c r="A170" s="9">
        <v>2906</v>
      </c>
      <c r="B170" s="10" t="s">
        <v>479</v>
      </c>
      <c r="C170" s="11" t="s">
        <v>480</v>
      </c>
      <c r="D170" s="11" t="s">
        <v>481</v>
      </c>
      <c r="E170" s="12"/>
      <c r="F170" s="13">
        <v>90</v>
      </c>
      <c r="G170" s="7">
        <f t="shared" si="2"/>
        <v>0</v>
      </c>
      <c r="H170" s="13">
        <v>0</v>
      </c>
      <c r="I170" s="13">
        <v>1</v>
      </c>
      <c r="J170" s="13">
        <v>1</v>
      </c>
      <c r="K170" s="13">
        <v>0</v>
      </c>
    </row>
    <row r="171" spans="1:11" ht="44" customHeight="1" x14ac:dyDescent="0.15">
      <c r="A171" s="9">
        <v>6551</v>
      </c>
      <c r="B171" s="10" t="s">
        <v>482</v>
      </c>
      <c r="C171" s="11" t="s">
        <v>483</v>
      </c>
      <c r="D171" s="11" t="s">
        <v>484</v>
      </c>
      <c r="E171" s="12"/>
      <c r="F171" s="13">
        <v>10</v>
      </c>
      <c r="G171" s="7">
        <f t="shared" si="2"/>
        <v>0</v>
      </c>
      <c r="H171" s="13">
        <v>0</v>
      </c>
      <c r="I171" s="13">
        <v>1</v>
      </c>
      <c r="J171" s="13">
        <v>1</v>
      </c>
      <c r="K171" s="13">
        <v>0</v>
      </c>
    </row>
    <row r="172" spans="1:11" ht="44" customHeight="1" x14ac:dyDescent="0.15">
      <c r="A172" s="9">
        <v>4522</v>
      </c>
      <c r="B172" s="10" t="s">
        <v>485</v>
      </c>
      <c r="C172" s="11" t="s">
        <v>486</v>
      </c>
      <c r="D172" s="11" t="s">
        <v>40</v>
      </c>
      <c r="E172" s="12"/>
      <c r="F172" s="13">
        <v>72</v>
      </c>
      <c r="G172" s="7">
        <f t="shared" si="2"/>
        <v>0</v>
      </c>
      <c r="H172" s="13">
        <v>0</v>
      </c>
      <c r="I172" s="13">
        <v>1</v>
      </c>
      <c r="J172" s="13">
        <v>1</v>
      </c>
      <c r="K172" s="13">
        <v>0</v>
      </c>
    </row>
    <row r="173" spans="1:11" ht="80" customHeight="1" x14ac:dyDescent="0.15">
      <c r="A173" s="9">
        <v>6958</v>
      </c>
      <c r="B173" s="10" t="s">
        <v>487</v>
      </c>
      <c r="C173" s="11" t="s">
        <v>488</v>
      </c>
      <c r="D173" s="11" t="s">
        <v>489</v>
      </c>
      <c r="E173" s="13">
        <v>75</v>
      </c>
      <c r="F173" s="13">
        <v>26</v>
      </c>
      <c r="G173" s="7">
        <f t="shared" si="2"/>
        <v>0</v>
      </c>
      <c r="H173" s="13">
        <v>70</v>
      </c>
      <c r="I173" s="13">
        <v>4</v>
      </c>
      <c r="J173" s="13">
        <v>74</v>
      </c>
      <c r="K173" s="14">
        <v>4.8199999999999996E-6</v>
      </c>
    </row>
    <row r="174" spans="1:11" ht="68" customHeight="1" x14ac:dyDescent="0.15">
      <c r="A174" s="9">
        <v>6679</v>
      </c>
      <c r="B174" s="10" t="s">
        <v>490</v>
      </c>
      <c r="C174" s="11" t="s">
        <v>491</v>
      </c>
      <c r="D174" s="11" t="s">
        <v>492</v>
      </c>
      <c r="E174" s="12"/>
      <c r="F174" s="13">
        <v>15</v>
      </c>
      <c r="G174" s="7">
        <f t="shared" si="2"/>
        <v>0</v>
      </c>
      <c r="H174" s="13">
        <v>82</v>
      </c>
      <c r="I174" s="13">
        <v>4</v>
      </c>
      <c r="J174" s="13">
        <v>86</v>
      </c>
      <c r="K174" s="14">
        <v>5.4199999999999998E-6</v>
      </c>
    </row>
    <row r="175" spans="1:11" ht="80" customHeight="1" x14ac:dyDescent="0.15">
      <c r="A175" s="9">
        <v>6220</v>
      </c>
      <c r="B175" s="10" t="s">
        <v>493</v>
      </c>
      <c r="C175" s="11" t="s">
        <v>494</v>
      </c>
      <c r="D175" s="11" t="s">
        <v>495</v>
      </c>
      <c r="E175" s="12"/>
      <c r="F175" s="13">
        <v>32</v>
      </c>
      <c r="G175" s="7">
        <f t="shared" si="2"/>
        <v>0</v>
      </c>
      <c r="H175" s="13">
        <v>0</v>
      </c>
      <c r="I175" s="13">
        <v>1</v>
      </c>
      <c r="J175" s="13">
        <v>1</v>
      </c>
      <c r="K175" s="13">
        <v>0</v>
      </c>
    </row>
    <row r="176" spans="1:11" ht="80" customHeight="1" x14ac:dyDescent="0.15">
      <c r="A176" s="9">
        <v>6511</v>
      </c>
      <c r="B176" s="10" t="s">
        <v>496</v>
      </c>
      <c r="C176" s="11" t="s">
        <v>497</v>
      </c>
      <c r="D176" s="11" t="s">
        <v>498</v>
      </c>
      <c r="E176" s="12"/>
      <c r="F176" s="13">
        <v>164</v>
      </c>
      <c r="G176" s="7">
        <f t="shared" si="2"/>
        <v>0</v>
      </c>
      <c r="H176" s="13">
        <v>0</v>
      </c>
      <c r="I176" s="13">
        <v>1</v>
      </c>
      <c r="J176" s="13">
        <v>1</v>
      </c>
      <c r="K176" s="13">
        <v>0</v>
      </c>
    </row>
    <row r="177" spans="1:11" ht="44" customHeight="1" x14ac:dyDescent="0.15">
      <c r="A177" s="9">
        <v>2149</v>
      </c>
      <c r="B177" s="10" t="s">
        <v>499</v>
      </c>
      <c r="C177" s="11" t="s">
        <v>500</v>
      </c>
      <c r="D177" s="11" t="s">
        <v>75</v>
      </c>
      <c r="E177" s="13">
        <v>4</v>
      </c>
      <c r="F177" s="13">
        <v>4</v>
      </c>
      <c r="G177" s="7">
        <f t="shared" si="2"/>
        <v>1</v>
      </c>
      <c r="H177" s="13">
        <v>62</v>
      </c>
      <c r="I177" s="13">
        <v>4</v>
      </c>
      <c r="J177" s="13">
        <v>66</v>
      </c>
      <c r="K177" s="14">
        <v>4.42E-6</v>
      </c>
    </row>
    <row r="178" spans="1:11" ht="44" customHeight="1" x14ac:dyDescent="0.15">
      <c r="A178" s="9">
        <v>2781</v>
      </c>
      <c r="B178" s="10" t="s">
        <v>501</v>
      </c>
      <c r="C178" s="11" t="s">
        <v>502</v>
      </c>
      <c r="D178" s="11" t="s">
        <v>503</v>
      </c>
      <c r="E178" s="12"/>
      <c r="F178" s="13">
        <v>36</v>
      </c>
      <c r="G178" s="7">
        <f t="shared" si="2"/>
        <v>0</v>
      </c>
      <c r="H178" s="13">
        <v>0</v>
      </c>
      <c r="I178" s="13">
        <v>1</v>
      </c>
      <c r="J178" s="13">
        <v>1</v>
      </c>
      <c r="K178" s="13">
        <v>0</v>
      </c>
    </row>
    <row r="179" spans="1:11" ht="56" customHeight="1" x14ac:dyDescent="0.15">
      <c r="A179" s="9">
        <v>1407</v>
      </c>
      <c r="B179" s="10" t="s">
        <v>504</v>
      </c>
      <c r="C179" s="11" t="s">
        <v>505</v>
      </c>
      <c r="D179" s="11" t="s">
        <v>506</v>
      </c>
      <c r="E179" s="13">
        <v>33</v>
      </c>
      <c r="F179" s="13">
        <v>55</v>
      </c>
      <c r="G179" s="7">
        <f t="shared" si="2"/>
        <v>0</v>
      </c>
      <c r="H179" s="13">
        <v>70</v>
      </c>
      <c r="I179" s="13">
        <v>4</v>
      </c>
      <c r="J179" s="13">
        <v>74</v>
      </c>
      <c r="K179" s="14">
        <v>4.8199999999999996E-6</v>
      </c>
    </row>
    <row r="180" spans="1:11" ht="80" customHeight="1" x14ac:dyDescent="0.15">
      <c r="A180" s="9">
        <v>4563</v>
      </c>
      <c r="B180" s="10" t="s">
        <v>507</v>
      </c>
      <c r="C180" s="11" t="s">
        <v>508</v>
      </c>
      <c r="D180" s="11" t="s">
        <v>509</v>
      </c>
      <c r="E180" s="12"/>
      <c r="F180" s="13">
        <v>3</v>
      </c>
      <c r="G180" s="7">
        <f t="shared" si="2"/>
        <v>0</v>
      </c>
      <c r="H180" s="13">
        <v>0</v>
      </c>
      <c r="I180" s="13">
        <v>1</v>
      </c>
      <c r="J180" s="13">
        <v>1</v>
      </c>
      <c r="K180" s="13">
        <v>0</v>
      </c>
    </row>
    <row r="181" spans="1:11" ht="80" customHeight="1" x14ac:dyDescent="0.15">
      <c r="A181" s="9">
        <v>6219</v>
      </c>
      <c r="B181" s="10" t="s">
        <v>510</v>
      </c>
      <c r="C181" s="11" t="s">
        <v>511</v>
      </c>
      <c r="D181" s="11" t="s">
        <v>208</v>
      </c>
      <c r="E181" s="12"/>
      <c r="F181" s="13">
        <v>60</v>
      </c>
      <c r="G181" s="7">
        <f t="shared" si="2"/>
        <v>0</v>
      </c>
      <c r="H181" s="13">
        <v>0</v>
      </c>
      <c r="I181" s="13">
        <v>1</v>
      </c>
      <c r="J181" s="13">
        <v>1</v>
      </c>
      <c r="K181" s="13">
        <v>0</v>
      </c>
    </row>
    <row r="182" spans="1:11" ht="44" customHeight="1" x14ac:dyDescent="0.15">
      <c r="A182" s="9">
        <v>6429</v>
      </c>
      <c r="B182" s="10" t="s">
        <v>512</v>
      </c>
      <c r="C182" s="11" t="s">
        <v>513</v>
      </c>
      <c r="D182" s="11" t="s">
        <v>489</v>
      </c>
      <c r="E182" s="13">
        <v>75</v>
      </c>
      <c r="F182" s="13">
        <v>86</v>
      </c>
      <c r="G182" s="7">
        <f t="shared" si="2"/>
        <v>0</v>
      </c>
      <c r="H182" s="13">
        <v>103</v>
      </c>
      <c r="I182" s="13">
        <v>4</v>
      </c>
      <c r="J182" s="13">
        <v>107</v>
      </c>
      <c r="K182" s="14">
        <v>6.4699999999999999E-6</v>
      </c>
    </row>
    <row r="183" spans="1:11" ht="68" customHeight="1" x14ac:dyDescent="0.15">
      <c r="A183" s="9">
        <v>6354</v>
      </c>
      <c r="B183" s="10" t="s">
        <v>514</v>
      </c>
      <c r="C183" s="11" t="s">
        <v>515</v>
      </c>
      <c r="D183" s="11" t="s">
        <v>516</v>
      </c>
      <c r="E183" s="12"/>
      <c r="F183" s="13">
        <v>21</v>
      </c>
      <c r="G183" s="7">
        <f t="shared" si="2"/>
        <v>0</v>
      </c>
      <c r="H183" s="13">
        <v>0</v>
      </c>
      <c r="I183" s="13">
        <v>1</v>
      </c>
      <c r="J183" s="13">
        <v>1</v>
      </c>
      <c r="K183" s="13">
        <v>0</v>
      </c>
    </row>
    <row r="184" spans="1:11" ht="56" customHeight="1" x14ac:dyDescent="0.15">
      <c r="A184" s="9">
        <v>828</v>
      </c>
      <c r="B184" s="10" t="s">
        <v>517</v>
      </c>
      <c r="C184" s="11" t="s">
        <v>518</v>
      </c>
      <c r="D184" s="11" t="s">
        <v>519</v>
      </c>
      <c r="E184" s="13">
        <v>22</v>
      </c>
      <c r="F184" s="13">
        <v>32</v>
      </c>
      <c r="G184" s="7">
        <f t="shared" si="2"/>
        <v>0</v>
      </c>
      <c r="H184" s="13">
        <v>70</v>
      </c>
      <c r="I184" s="13">
        <v>4</v>
      </c>
      <c r="J184" s="13">
        <v>74</v>
      </c>
      <c r="K184" s="14">
        <v>4.8199999999999996E-6</v>
      </c>
    </row>
    <row r="185" spans="1:11" ht="44" customHeight="1" x14ac:dyDescent="0.15">
      <c r="A185" s="9">
        <v>3279</v>
      </c>
      <c r="B185" s="10" t="s">
        <v>520</v>
      </c>
      <c r="C185" s="11" t="s">
        <v>521</v>
      </c>
      <c r="D185" s="11" t="s">
        <v>405</v>
      </c>
      <c r="E185" s="13">
        <v>40</v>
      </c>
      <c r="F185" s="13">
        <v>160</v>
      </c>
      <c r="G185" s="7">
        <f t="shared" si="2"/>
        <v>0</v>
      </c>
      <c r="H185" s="13">
        <v>61</v>
      </c>
      <c r="I185" s="13">
        <v>4</v>
      </c>
      <c r="J185" s="13">
        <v>65</v>
      </c>
      <c r="K185" s="14">
        <v>4.3699999999999997E-6</v>
      </c>
    </row>
    <row r="186" spans="1:11" ht="56" customHeight="1" x14ac:dyDescent="0.15">
      <c r="A186" s="9">
        <v>7019</v>
      </c>
      <c r="B186" s="10" t="s">
        <v>522</v>
      </c>
      <c r="C186" s="11" t="s">
        <v>523</v>
      </c>
      <c r="D186" s="11" t="s">
        <v>524</v>
      </c>
      <c r="E186" s="12"/>
      <c r="F186" s="13">
        <v>25</v>
      </c>
      <c r="G186" s="7">
        <f t="shared" si="2"/>
        <v>0</v>
      </c>
      <c r="H186" s="13">
        <v>0</v>
      </c>
      <c r="I186" s="13">
        <v>1</v>
      </c>
      <c r="J186" s="13">
        <v>1</v>
      </c>
      <c r="K186" s="13">
        <v>0</v>
      </c>
    </row>
    <row r="187" spans="1:11" ht="80" customHeight="1" x14ac:dyDescent="0.15">
      <c r="A187" s="9">
        <v>1410</v>
      </c>
      <c r="B187" s="10" t="s">
        <v>525</v>
      </c>
      <c r="C187" s="11" t="s">
        <v>526</v>
      </c>
      <c r="D187" s="11" t="s">
        <v>34</v>
      </c>
      <c r="E187" s="13">
        <v>50</v>
      </c>
      <c r="F187" s="13">
        <v>30</v>
      </c>
      <c r="G187" s="7">
        <f t="shared" si="2"/>
        <v>0</v>
      </c>
      <c r="H187" s="13">
        <v>70</v>
      </c>
      <c r="I187" s="13">
        <v>4</v>
      </c>
      <c r="J187" s="13">
        <v>74</v>
      </c>
      <c r="K187" s="14">
        <v>4.8199999999999996E-6</v>
      </c>
    </row>
    <row r="188" spans="1:11" ht="80" customHeight="1" x14ac:dyDescent="0.15">
      <c r="A188" s="9">
        <v>3260</v>
      </c>
      <c r="B188" s="10" t="s">
        <v>527</v>
      </c>
      <c r="C188" s="11" t="s">
        <v>528</v>
      </c>
      <c r="D188" s="11" t="s">
        <v>529</v>
      </c>
      <c r="E188" s="13">
        <v>840</v>
      </c>
      <c r="F188" s="13">
        <v>338</v>
      </c>
      <c r="G188" s="7">
        <f t="shared" si="2"/>
        <v>0</v>
      </c>
      <c r="H188" s="13">
        <v>95</v>
      </c>
      <c r="I188" s="13">
        <v>4</v>
      </c>
      <c r="J188" s="13">
        <v>99</v>
      </c>
      <c r="K188" s="14">
        <v>6.0700000000000003E-6</v>
      </c>
    </row>
    <row r="189" spans="1:11" ht="44" customHeight="1" x14ac:dyDescent="0.15">
      <c r="A189" s="9">
        <v>5495</v>
      </c>
      <c r="B189" s="10" t="s">
        <v>530</v>
      </c>
      <c r="C189" s="11" t="s">
        <v>531</v>
      </c>
      <c r="D189" s="11" t="s">
        <v>532</v>
      </c>
      <c r="E189" s="12"/>
      <c r="F189" s="13">
        <v>14</v>
      </c>
      <c r="G189" s="7">
        <f t="shared" si="2"/>
        <v>0</v>
      </c>
      <c r="H189" s="13">
        <v>0</v>
      </c>
      <c r="I189" s="13">
        <v>1</v>
      </c>
      <c r="J189" s="13">
        <v>1</v>
      </c>
      <c r="K189" s="13">
        <v>0</v>
      </c>
    </row>
    <row r="190" spans="1:11" ht="44" customHeight="1" x14ac:dyDescent="0.15">
      <c r="A190" s="9">
        <v>2298</v>
      </c>
      <c r="B190" s="10" t="s">
        <v>533</v>
      </c>
      <c r="C190" s="11" t="s">
        <v>534</v>
      </c>
      <c r="D190" s="11" t="s">
        <v>193</v>
      </c>
      <c r="E190" s="13">
        <v>3</v>
      </c>
      <c r="F190" s="13">
        <v>1</v>
      </c>
      <c r="G190" s="7">
        <f t="shared" si="2"/>
        <v>0</v>
      </c>
      <c r="H190" s="13">
        <v>67</v>
      </c>
      <c r="I190" s="13">
        <v>4</v>
      </c>
      <c r="J190" s="13">
        <v>71</v>
      </c>
      <c r="K190" s="14">
        <v>4.6700000000000002E-6</v>
      </c>
    </row>
    <row r="191" spans="1:11" ht="104" customHeight="1" x14ac:dyDescent="0.15">
      <c r="A191" s="9">
        <v>5364</v>
      </c>
      <c r="B191" s="10" t="s">
        <v>535</v>
      </c>
      <c r="C191" s="11" t="s">
        <v>536</v>
      </c>
      <c r="D191" s="11" t="s">
        <v>537</v>
      </c>
      <c r="E191" s="12"/>
      <c r="F191" s="13">
        <v>4000</v>
      </c>
      <c r="G191" s="7">
        <f t="shared" si="2"/>
        <v>0</v>
      </c>
      <c r="H191" s="13">
        <v>0</v>
      </c>
      <c r="I191" s="13">
        <v>1</v>
      </c>
      <c r="J191" s="13">
        <v>1</v>
      </c>
      <c r="K191" s="13">
        <v>0</v>
      </c>
    </row>
    <row r="192" spans="1:11" ht="80" customHeight="1" x14ac:dyDescent="0.15">
      <c r="A192" s="9">
        <v>3872</v>
      </c>
      <c r="B192" s="10" t="s">
        <v>538</v>
      </c>
      <c r="C192" s="11" t="s">
        <v>539</v>
      </c>
      <c r="D192" s="11" t="s">
        <v>540</v>
      </c>
      <c r="E192" s="12"/>
      <c r="F192" s="13">
        <v>55</v>
      </c>
      <c r="G192" s="7">
        <f t="shared" si="2"/>
        <v>0</v>
      </c>
      <c r="H192" s="13">
        <v>0</v>
      </c>
      <c r="I192" s="13">
        <v>1</v>
      </c>
      <c r="J192" s="13">
        <v>1</v>
      </c>
      <c r="K192" s="13">
        <v>0</v>
      </c>
    </row>
    <row r="193" spans="1:11" ht="92" customHeight="1" x14ac:dyDescent="0.15">
      <c r="A193" s="9">
        <v>4516</v>
      </c>
      <c r="B193" s="10" t="s">
        <v>541</v>
      </c>
      <c r="C193" s="11" t="s">
        <v>542</v>
      </c>
      <c r="D193" s="11" t="s">
        <v>40</v>
      </c>
      <c r="E193" s="12"/>
      <c r="F193" s="13">
        <v>35</v>
      </c>
      <c r="G193" s="7">
        <f t="shared" si="2"/>
        <v>0</v>
      </c>
      <c r="H193" s="13">
        <v>154</v>
      </c>
      <c r="I193" s="13">
        <v>2</v>
      </c>
      <c r="J193" s="13">
        <v>156</v>
      </c>
      <c r="K193" s="14">
        <v>8.3599999999999996E-6</v>
      </c>
    </row>
    <row r="194" spans="1:11" ht="44" customHeight="1" x14ac:dyDescent="0.15">
      <c r="A194" s="9">
        <v>79</v>
      </c>
      <c r="B194" s="10" t="s">
        <v>543</v>
      </c>
      <c r="C194" s="11" t="s">
        <v>544</v>
      </c>
      <c r="D194" s="11" t="s">
        <v>545</v>
      </c>
      <c r="E194" s="12"/>
      <c r="F194" s="13">
        <v>70</v>
      </c>
      <c r="G194" s="7">
        <f t="shared" si="2"/>
        <v>0</v>
      </c>
      <c r="H194" s="13">
        <v>0</v>
      </c>
      <c r="I194" s="13">
        <v>1</v>
      </c>
      <c r="J194" s="13">
        <v>1</v>
      </c>
      <c r="K194" s="13">
        <v>0</v>
      </c>
    </row>
    <row r="195" spans="1:11" ht="44" customHeight="1" x14ac:dyDescent="0.15">
      <c r="A195" s="9">
        <v>6301</v>
      </c>
      <c r="B195" s="10" t="s">
        <v>546</v>
      </c>
      <c r="C195" s="11" t="s">
        <v>547</v>
      </c>
      <c r="D195" s="11" t="s">
        <v>43</v>
      </c>
      <c r="E195" s="13">
        <v>35</v>
      </c>
      <c r="F195" s="13">
        <v>55</v>
      </c>
      <c r="G195" s="7">
        <f t="shared" si="2"/>
        <v>0</v>
      </c>
      <c r="H195" s="13">
        <v>81</v>
      </c>
      <c r="I195" s="13">
        <v>4</v>
      </c>
      <c r="J195" s="13">
        <v>85</v>
      </c>
      <c r="K195" s="15">
        <v>5.4628999999999998E-6</v>
      </c>
    </row>
    <row r="196" spans="1:11" ht="44" customHeight="1" x14ac:dyDescent="0.15">
      <c r="A196" s="9">
        <v>2436</v>
      </c>
      <c r="B196" s="10" t="s">
        <v>548</v>
      </c>
      <c r="C196" s="11" t="s">
        <v>549</v>
      </c>
      <c r="D196" s="11" t="s">
        <v>423</v>
      </c>
      <c r="E196" s="13">
        <v>10000</v>
      </c>
      <c r="F196" s="13">
        <v>5</v>
      </c>
      <c r="G196" s="7">
        <f t="shared" ref="G196:G259" si="3">IF(OR(ISBLANK(E196), ISBLANK(F196)), 0, IF(E196=F196, 1, 0))</f>
        <v>0</v>
      </c>
      <c r="H196" s="13">
        <v>93</v>
      </c>
      <c r="I196" s="13">
        <v>5</v>
      </c>
      <c r="J196" s="13">
        <v>98</v>
      </c>
      <c r="K196" s="15">
        <v>6.4087000000000002E-6</v>
      </c>
    </row>
    <row r="197" spans="1:11" ht="92" customHeight="1" x14ac:dyDescent="0.15">
      <c r="A197" s="9">
        <v>4284</v>
      </c>
      <c r="B197" s="10" t="s">
        <v>550</v>
      </c>
      <c r="C197" s="11" t="s">
        <v>551</v>
      </c>
      <c r="D197" s="11" t="s">
        <v>552</v>
      </c>
      <c r="E197" s="13">
        <v>210</v>
      </c>
      <c r="F197" s="13">
        <v>360</v>
      </c>
      <c r="G197" s="7">
        <f t="shared" si="3"/>
        <v>0</v>
      </c>
      <c r="H197" s="13">
        <v>71</v>
      </c>
      <c r="I197" s="13">
        <v>4</v>
      </c>
      <c r="J197" s="13">
        <v>75</v>
      </c>
      <c r="K197" s="14">
        <v>4.87E-6</v>
      </c>
    </row>
    <row r="198" spans="1:11" ht="44" customHeight="1" x14ac:dyDescent="0.15">
      <c r="A198" s="9">
        <v>5162</v>
      </c>
      <c r="B198" s="10" t="s">
        <v>553</v>
      </c>
      <c r="C198" s="11" t="s">
        <v>554</v>
      </c>
      <c r="D198" s="11" t="s">
        <v>555</v>
      </c>
      <c r="E198" s="12"/>
      <c r="F198" s="13">
        <v>2</v>
      </c>
      <c r="G198" s="7">
        <f t="shared" si="3"/>
        <v>0</v>
      </c>
      <c r="H198" s="13">
        <v>62</v>
      </c>
      <c r="I198" s="13">
        <v>6</v>
      </c>
      <c r="J198" s="13">
        <v>68</v>
      </c>
      <c r="K198" s="14">
        <v>5.0799999999999996E-6</v>
      </c>
    </row>
    <row r="199" spans="1:11" ht="56" customHeight="1" x14ac:dyDescent="0.15">
      <c r="A199" s="9">
        <v>7348</v>
      </c>
      <c r="B199" s="10" t="s">
        <v>556</v>
      </c>
      <c r="C199" s="11" t="s">
        <v>557</v>
      </c>
      <c r="D199" s="11" t="s">
        <v>558</v>
      </c>
      <c r="E199" s="13">
        <v>27</v>
      </c>
      <c r="F199" s="13">
        <v>33</v>
      </c>
      <c r="G199" s="7">
        <f t="shared" si="3"/>
        <v>0</v>
      </c>
      <c r="H199" s="13">
        <v>67</v>
      </c>
      <c r="I199" s="13">
        <v>4</v>
      </c>
      <c r="J199" s="13">
        <v>71</v>
      </c>
      <c r="K199" s="14">
        <v>4.6700000000000002E-6</v>
      </c>
    </row>
    <row r="200" spans="1:11" ht="80" customHeight="1" x14ac:dyDescent="0.15">
      <c r="A200" s="9">
        <v>1662</v>
      </c>
      <c r="B200" s="10" t="s">
        <v>559</v>
      </c>
      <c r="C200" s="11" t="s">
        <v>560</v>
      </c>
      <c r="D200" s="11" t="s">
        <v>561</v>
      </c>
      <c r="E200" s="13">
        <v>76</v>
      </c>
      <c r="F200" s="13">
        <v>15</v>
      </c>
      <c r="G200" s="7">
        <f t="shared" si="3"/>
        <v>0</v>
      </c>
      <c r="H200" s="13">
        <v>90</v>
      </c>
      <c r="I200" s="13">
        <v>4</v>
      </c>
      <c r="J200" s="13">
        <v>94</v>
      </c>
      <c r="K200" s="14">
        <v>5.8200000000000002E-6</v>
      </c>
    </row>
    <row r="201" spans="1:11" ht="56" customHeight="1" x14ac:dyDescent="0.15">
      <c r="A201" s="9">
        <v>3689</v>
      </c>
      <c r="B201" s="10" t="s">
        <v>562</v>
      </c>
      <c r="C201" s="11" t="s">
        <v>563</v>
      </c>
      <c r="D201" s="11" t="s">
        <v>81</v>
      </c>
      <c r="E201" s="13">
        <v>6</v>
      </c>
      <c r="F201" s="13">
        <v>6</v>
      </c>
      <c r="G201" s="7">
        <f t="shared" si="3"/>
        <v>1</v>
      </c>
      <c r="H201" s="13">
        <v>94</v>
      </c>
      <c r="I201" s="13">
        <v>4</v>
      </c>
      <c r="J201" s="13">
        <v>98</v>
      </c>
      <c r="K201" s="14">
        <v>6.02E-6</v>
      </c>
    </row>
    <row r="202" spans="1:11" ht="272" customHeight="1" x14ac:dyDescent="0.15">
      <c r="A202" s="9">
        <v>3125</v>
      </c>
      <c r="B202" s="10" t="s">
        <v>564</v>
      </c>
      <c r="C202" s="11" t="s">
        <v>565</v>
      </c>
      <c r="D202" s="11" t="s">
        <v>566</v>
      </c>
      <c r="E202" s="12"/>
      <c r="F202" s="13">
        <v>20</v>
      </c>
      <c r="G202" s="7">
        <f t="shared" si="3"/>
        <v>0</v>
      </c>
      <c r="H202" s="13">
        <v>104</v>
      </c>
      <c r="I202" s="13">
        <v>368</v>
      </c>
      <c r="J202" s="13">
        <v>472</v>
      </c>
      <c r="K202" s="13">
        <v>1.2663999999999999E-4</v>
      </c>
    </row>
    <row r="203" spans="1:11" ht="44" customHeight="1" x14ac:dyDescent="0.15">
      <c r="A203" s="9">
        <v>3055</v>
      </c>
      <c r="B203" s="10" t="s">
        <v>567</v>
      </c>
      <c r="C203" s="11" t="s">
        <v>568</v>
      </c>
      <c r="D203" s="11" t="s">
        <v>569</v>
      </c>
      <c r="E203" s="12"/>
      <c r="F203" s="13">
        <v>64</v>
      </c>
      <c r="G203" s="7">
        <f t="shared" si="3"/>
        <v>0</v>
      </c>
      <c r="H203" s="13">
        <v>0</v>
      </c>
      <c r="I203" s="13">
        <v>1</v>
      </c>
      <c r="J203" s="13">
        <v>1</v>
      </c>
      <c r="K203" s="13">
        <v>0</v>
      </c>
    </row>
    <row r="204" spans="1:11" ht="68" customHeight="1" x14ac:dyDescent="0.15">
      <c r="A204" s="9">
        <v>2886</v>
      </c>
      <c r="B204" s="10" t="s">
        <v>570</v>
      </c>
      <c r="C204" s="11" t="s">
        <v>571</v>
      </c>
      <c r="D204" s="11" t="s">
        <v>572</v>
      </c>
      <c r="E204" s="12"/>
      <c r="F204" s="13">
        <v>495</v>
      </c>
      <c r="G204" s="7">
        <f t="shared" si="3"/>
        <v>0</v>
      </c>
      <c r="H204" s="13">
        <v>0</v>
      </c>
      <c r="I204" s="13">
        <v>1</v>
      </c>
      <c r="J204" s="13">
        <v>1</v>
      </c>
      <c r="K204" s="13">
        <v>0</v>
      </c>
    </row>
    <row r="205" spans="1:11" ht="212" customHeight="1" x14ac:dyDescent="0.15">
      <c r="A205" s="9">
        <v>5086</v>
      </c>
      <c r="B205" s="10" t="s">
        <v>573</v>
      </c>
      <c r="C205" s="11" t="s">
        <v>574</v>
      </c>
      <c r="D205" s="11" t="s">
        <v>575</v>
      </c>
      <c r="E205" s="12"/>
      <c r="F205" s="13">
        <v>7</v>
      </c>
      <c r="G205" s="7">
        <f t="shared" si="3"/>
        <v>0</v>
      </c>
      <c r="H205" s="13">
        <v>116</v>
      </c>
      <c r="I205" s="13">
        <v>116</v>
      </c>
      <c r="J205" s="13">
        <v>232</v>
      </c>
      <c r="K205" s="16">
        <v>4.4079999999999998E-5</v>
      </c>
    </row>
    <row r="206" spans="1:11" ht="56" customHeight="1" x14ac:dyDescent="0.15">
      <c r="A206" s="9">
        <v>4076</v>
      </c>
      <c r="B206" s="10" t="s">
        <v>576</v>
      </c>
      <c r="C206" s="11" t="s">
        <v>577</v>
      </c>
      <c r="D206" s="11" t="s">
        <v>578</v>
      </c>
      <c r="E206" s="12"/>
      <c r="F206" s="13">
        <v>45</v>
      </c>
      <c r="G206" s="7">
        <f t="shared" si="3"/>
        <v>0</v>
      </c>
      <c r="H206" s="13">
        <v>84</v>
      </c>
      <c r="I206" s="13">
        <v>6</v>
      </c>
      <c r="J206" s="13">
        <v>90</v>
      </c>
      <c r="K206" s="14">
        <v>6.1800000000000001E-6</v>
      </c>
    </row>
    <row r="207" spans="1:11" ht="68" customHeight="1" x14ac:dyDescent="0.15">
      <c r="A207" s="9">
        <v>251</v>
      </c>
      <c r="B207" s="10" t="s">
        <v>579</v>
      </c>
      <c r="C207" s="11" t="s">
        <v>580</v>
      </c>
      <c r="D207" s="11" t="s">
        <v>581</v>
      </c>
      <c r="E207" s="12"/>
      <c r="F207" s="13">
        <v>138</v>
      </c>
      <c r="G207" s="7">
        <f t="shared" si="3"/>
        <v>0</v>
      </c>
      <c r="H207" s="13">
        <v>0</v>
      </c>
      <c r="I207" s="13">
        <v>1</v>
      </c>
      <c r="J207" s="13">
        <v>1</v>
      </c>
      <c r="K207" s="13">
        <v>0</v>
      </c>
    </row>
    <row r="208" spans="1:11" ht="68" customHeight="1" x14ac:dyDescent="0.15">
      <c r="A208" s="9">
        <v>1328</v>
      </c>
      <c r="B208" s="10" t="s">
        <v>582</v>
      </c>
      <c r="C208" s="11" t="s">
        <v>583</v>
      </c>
      <c r="D208" s="11" t="s">
        <v>584</v>
      </c>
      <c r="E208" s="12"/>
      <c r="F208" s="13">
        <v>140</v>
      </c>
      <c r="G208" s="7">
        <f t="shared" si="3"/>
        <v>0</v>
      </c>
      <c r="H208" s="13">
        <v>0</v>
      </c>
      <c r="I208" s="13">
        <v>1</v>
      </c>
      <c r="J208" s="13">
        <v>1</v>
      </c>
      <c r="K208" s="13">
        <v>0</v>
      </c>
    </row>
    <row r="209" spans="1:11" ht="44" customHeight="1" x14ac:dyDescent="0.15">
      <c r="A209" s="9">
        <v>711</v>
      </c>
      <c r="B209" s="10" t="s">
        <v>585</v>
      </c>
      <c r="C209" s="11" t="s">
        <v>586</v>
      </c>
      <c r="D209" s="11" t="s">
        <v>587</v>
      </c>
      <c r="E209" s="13">
        <v>120</v>
      </c>
      <c r="F209" s="13">
        <v>120</v>
      </c>
      <c r="G209" s="7">
        <f t="shared" si="3"/>
        <v>1</v>
      </c>
      <c r="H209" s="13">
        <v>69</v>
      </c>
      <c r="I209" s="13">
        <v>4</v>
      </c>
      <c r="J209" s="13">
        <v>73</v>
      </c>
      <c r="K209" s="14">
        <v>4.7700000000000001E-6</v>
      </c>
    </row>
    <row r="210" spans="1:11" ht="56" customHeight="1" x14ac:dyDescent="0.15">
      <c r="A210" s="9">
        <v>706</v>
      </c>
      <c r="B210" s="10" t="s">
        <v>588</v>
      </c>
      <c r="C210" s="11" t="s">
        <v>589</v>
      </c>
      <c r="D210" s="11" t="s">
        <v>590</v>
      </c>
      <c r="E210" s="12"/>
      <c r="F210" s="13">
        <v>20</v>
      </c>
      <c r="G210" s="7">
        <f t="shared" si="3"/>
        <v>0</v>
      </c>
      <c r="H210" s="13">
        <v>0</v>
      </c>
      <c r="I210" s="13">
        <v>1</v>
      </c>
      <c r="J210" s="13">
        <v>1</v>
      </c>
      <c r="K210" s="13">
        <v>0</v>
      </c>
    </row>
    <row r="211" spans="1:11" ht="68" customHeight="1" x14ac:dyDescent="0.15">
      <c r="A211" s="9">
        <v>6540</v>
      </c>
      <c r="B211" s="10" t="s">
        <v>591</v>
      </c>
      <c r="C211" s="11" t="s">
        <v>592</v>
      </c>
      <c r="D211" s="11" t="s">
        <v>154</v>
      </c>
      <c r="E211" s="13">
        <v>20</v>
      </c>
      <c r="F211" s="13">
        <v>56</v>
      </c>
      <c r="G211" s="7">
        <f t="shared" si="3"/>
        <v>0</v>
      </c>
      <c r="H211" s="13">
        <v>69</v>
      </c>
      <c r="I211" s="13">
        <v>4</v>
      </c>
      <c r="J211" s="13">
        <v>73</v>
      </c>
      <c r="K211" s="14">
        <v>4.7700000000000001E-6</v>
      </c>
    </row>
    <row r="212" spans="1:11" ht="56" customHeight="1" x14ac:dyDescent="0.15">
      <c r="A212" s="9">
        <v>6576</v>
      </c>
      <c r="B212" s="10" t="s">
        <v>593</v>
      </c>
      <c r="C212" s="11" t="s">
        <v>594</v>
      </c>
      <c r="D212" s="11" t="s">
        <v>51</v>
      </c>
      <c r="E212" s="13">
        <v>18</v>
      </c>
      <c r="F212" s="13">
        <v>13</v>
      </c>
      <c r="G212" s="7">
        <f t="shared" si="3"/>
        <v>0</v>
      </c>
      <c r="H212" s="13">
        <v>93</v>
      </c>
      <c r="I212" s="13">
        <v>4</v>
      </c>
      <c r="J212" s="13">
        <v>97</v>
      </c>
      <c r="K212" s="14">
        <v>5.9699999999999996E-6</v>
      </c>
    </row>
    <row r="213" spans="1:11" ht="128" customHeight="1" x14ac:dyDescent="0.15">
      <c r="A213" s="9">
        <v>3501</v>
      </c>
      <c r="B213" s="10" t="s">
        <v>595</v>
      </c>
      <c r="C213" s="11" t="s">
        <v>596</v>
      </c>
      <c r="D213" s="11" t="s">
        <v>597</v>
      </c>
      <c r="E213" s="13">
        <v>4</v>
      </c>
      <c r="F213" s="13">
        <v>4</v>
      </c>
      <c r="G213" s="7">
        <f t="shared" si="3"/>
        <v>1</v>
      </c>
      <c r="H213" s="13">
        <v>95</v>
      </c>
      <c r="I213" s="13">
        <v>99</v>
      </c>
      <c r="J213" s="13">
        <v>194</v>
      </c>
      <c r="K213" s="17">
        <v>3.8000500000000003E-5</v>
      </c>
    </row>
    <row r="214" spans="1:11" ht="92" customHeight="1" x14ac:dyDescent="0.15">
      <c r="A214" s="9">
        <v>2954</v>
      </c>
      <c r="B214" s="10" t="s">
        <v>598</v>
      </c>
      <c r="C214" s="11" t="s">
        <v>599</v>
      </c>
      <c r="D214" s="11" t="s">
        <v>600</v>
      </c>
      <c r="E214" s="12"/>
      <c r="F214" s="13">
        <v>440</v>
      </c>
      <c r="G214" s="7">
        <f t="shared" si="3"/>
        <v>0</v>
      </c>
      <c r="H214" s="13">
        <v>0</v>
      </c>
      <c r="I214" s="13">
        <v>1</v>
      </c>
      <c r="J214" s="13">
        <v>1</v>
      </c>
      <c r="K214" s="13">
        <v>0</v>
      </c>
    </row>
    <row r="215" spans="1:11" ht="80" customHeight="1" x14ac:dyDescent="0.15">
      <c r="A215" s="9">
        <v>4900</v>
      </c>
      <c r="B215" s="10" t="s">
        <v>601</v>
      </c>
      <c r="C215" s="11" t="s">
        <v>602</v>
      </c>
      <c r="D215" s="11" t="s">
        <v>603</v>
      </c>
      <c r="E215" s="12"/>
      <c r="F215" s="13">
        <v>28</v>
      </c>
      <c r="G215" s="7">
        <f t="shared" si="3"/>
        <v>0</v>
      </c>
      <c r="H215" s="13">
        <v>0</v>
      </c>
      <c r="I215" s="13">
        <v>1</v>
      </c>
      <c r="J215" s="13">
        <v>1</v>
      </c>
      <c r="K215" s="13">
        <v>0</v>
      </c>
    </row>
    <row r="216" spans="1:11" ht="56" customHeight="1" x14ac:dyDescent="0.15">
      <c r="A216" s="9">
        <v>1623</v>
      </c>
      <c r="B216" s="10" t="s">
        <v>604</v>
      </c>
      <c r="C216" s="11" t="s">
        <v>605</v>
      </c>
      <c r="D216" s="11" t="s">
        <v>606</v>
      </c>
      <c r="E216" s="12"/>
      <c r="F216" s="13">
        <v>240</v>
      </c>
      <c r="G216" s="7">
        <f t="shared" si="3"/>
        <v>0</v>
      </c>
      <c r="H216" s="13">
        <v>0</v>
      </c>
      <c r="I216" s="13">
        <v>1</v>
      </c>
      <c r="J216" s="13">
        <v>1</v>
      </c>
      <c r="K216" s="13">
        <v>0</v>
      </c>
    </row>
    <row r="217" spans="1:11" ht="68" customHeight="1" x14ac:dyDescent="0.15">
      <c r="A217" s="9">
        <v>2399</v>
      </c>
      <c r="B217" s="10" t="s">
        <v>607</v>
      </c>
      <c r="C217" s="11" t="s">
        <v>608</v>
      </c>
      <c r="D217" s="11" t="s">
        <v>609</v>
      </c>
      <c r="E217" s="12"/>
      <c r="F217" s="13">
        <v>40</v>
      </c>
      <c r="G217" s="7">
        <f t="shared" si="3"/>
        <v>0</v>
      </c>
      <c r="H217" s="13">
        <v>0</v>
      </c>
      <c r="I217" s="13">
        <v>1</v>
      </c>
      <c r="J217" s="13">
        <v>1</v>
      </c>
      <c r="K217" s="13">
        <v>0</v>
      </c>
    </row>
    <row r="218" spans="1:11" ht="44" customHeight="1" x14ac:dyDescent="0.15">
      <c r="A218" s="9">
        <v>6704</v>
      </c>
      <c r="B218" s="10" t="s">
        <v>610</v>
      </c>
      <c r="C218" s="11" t="s">
        <v>611</v>
      </c>
      <c r="D218" s="11" t="s">
        <v>612</v>
      </c>
      <c r="E218" s="13">
        <v>1150</v>
      </c>
      <c r="F218" s="13">
        <v>2700</v>
      </c>
      <c r="G218" s="7">
        <f t="shared" si="3"/>
        <v>0</v>
      </c>
      <c r="H218" s="13">
        <v>77</v>
      </c>
      <c r="I218" s="13">
        <v>5</v>
      </c>
      <c r="J218" s="13">
        <v>82</v>
      </c>
      <c r="K218" s="18">
        <v>5.4999999999999999E-6</v>
      </c>
    </row>
    <row r="219" spans="1:11" ht="56" customHeight="1" x14ac:dyDescent="0.15">
      <c r="A219" s="9">
        <v>4626</v>
      </c>
      <c r="B219" s="10" t="s">
        <v>613</v>
      </c>
      <c r="C219" s="11" t="s">
        <v>614</v>
      </c>
      <c r="D219" s="11" t="s">
        <v>615</v>
      </c>
      <c r="E219" s="12"/>
      <c r="F219" s="12"/>
      <c r="G219" s="7">
        <f t="shared" si="3"/>
        <v>0</v>
      </c>
      <c r="H219" s="13">
        <v>100</v>
      </c>
      <c r="I219" s="13">
        <v>22</v>
      </c>
      <c r="J219" s="13">
        <v>122</v>
      </c>
      <c r="K219" s="16">
        <v>1.226E-5</v>
      </c>
    </row>
    <row r="220" spans="1:11" ht="56" customHeight="1" x14ac:dyDescent="0.15">
      <c r="A220" s="9">
        <v>2589</v>
      </c>
      <c r="B220" s="10" t="s">
        <v>616</v>
      </c>
      <c r="C220" s="11" t="s">
        <v>617</v>
      </c>
      <c r="D220" s="11" t="s">
        <v>618</v>
      </c>
      <c r="E220" s="12"/>
      <c r="F220" s="13">
        <v>40</v>
      </c>
      <c r="G220" s="7">
        <f t="shared" si="3"/>
        <v>0</v>
      </c>
      <c r="H220" s="13">
        <v>0</v>
      </c>
      <c r="I220" s="13">
        <v>1</v>
      </c>
      <c r="J220" s="13">
        <v>1</v>
      </c>
      <c r="K220" s="13">
        <v>0</v>
      </c>
    </row>
    <row r="221" spans="1:11" ht="56" customHeight="1" x14ac:dyDescent="0.15">
      <c r="A221" s="9">
        <v>429</v>
      </c>
      <c r="B221" s="10" t="s">
        <v>619</v>
      </c>
      <c r="C221" s="11" t="s">
        <v>620</v>
      </c>
      <c r="D221" s="11" t="s">
        <v>621</v>
      </c>
      <c r="E221" s="13">
        <v>1680</v>
      </c>
      <c r="F221" s="13">
        <v>736</v>
      </c>
      <c r="G221" s="7">
        <f t="shared" si="3"/>
        <v>0</v>
      </c>
      <c r="H221" s="13">
        <v>82</v>
      </c>
      <c r="I221" s="13">
        <v>5</v>
      </c>
      <c r="J221" s="13">
        <v>87</v>
      </c>
      <c r="K221" s="14">
        <v>5.75E-6</v>
      </c>
    </row>
    <row r="222" spans="1:11" ht="56" customHeight="1" x14ac:dyDescent="0.15">
      <c r="A222" s="9">
        <v>177</v>
      </c>
      <c r="B222" s="10" t="s">
        <v>622</v>
      </c>
      <c r="C222" s="11" t="s">
        <v>623</v>
      </c>
      <c r="D222" s="11" t="s">
        <v>624</v>
      </c>
      <c r="E222" s="13">
        <v>2000</v>
      </c>
      <c r="F222" s="13">
        <v>11000</v>
      </c>
      <c r="G222" s="7">
        <f t="shared" si="3"/>
        <v>0</v>
      </c>
      <c r="H222" s="13">
        <v>89</v>
      </c>
      <c r="I222" s="13">
        <v>5</v>
      </c>
      <c r="J222" s="13">
        <v>94</v>
      </c>
      <c r="K222" s="18">
        <v>6.1E-6</v>
      </c>
    </row>
    <row r="223" spans="1:11" ht="56" customHeight="1" x14ac:dyDescent="0.15">
      <c r="A223" s="9">
        <v>1509</v>
      </c>
      <c r="B223" s="10" t="s">
        <v>625</v>
      </c>
      <c r="C223" s="11" t="s">
        <v>626</v>
      </c>
      <c r="D223" s="11" t="s">
        <v>627</v>
      </c>
      <c r="E223" s="13">
        <v>68</v>
      </c>
      <c r="F223" s="13">
        <v>6</v>
      </c>
      <c r="G223" s="7">
        <f t="shared" si="3"/>
        <v>0</v>
      </c>
      <c r="H223" s="13">
        <v>65</v>
      </c>
      <c r="I223" s="13">
        <v>4</v>
      </c>
      <c r="J223" s="13">
        <v>69</v>
      </c>
      <c r="K223" s="14">
        <v>4.5700000000000003E-6</v>
      </c>
    </row>
    <row r="224" spans="1:11" ht="56" customHeight="1" x14ac:dyDescent="0.15">
      <c r="A224" s="9">
        <v>4766</v>
      </c>
      <c r="B224" s="10" t="s">
        <v>628</v>
      </c>
      <c r="C224" s="11" t="s">
        <v>629</v>
      </c>
      <c r="D224" s="11" t="s">
        <v>630</v>
      </c>
      <c r="E224" s="12"/>
      <c r="F224" s="13">
        <v>3</v>
      </c>
      <c r="G224" s="7">
        <f t="shared" si="3"/>
        <v>0</v>
      </c>
      <c r="H224" s="13">
        <v>0</v>
      </c>
      <c r="I224" s="13">
        <v>1</v>
      </c>
      <c r="J224" s="13">
        <v>1</v>
      </c>
      <c r="K224" s="13">
        <v>0</v>
      </c>
    </row>
    <row r="225" spans="1:11" ht="56" customHeight="1" x14ac:dyDescent="0.15">
      <c r="A225" s="9">
        <v>5396</v>
      </c>
      <c r="B225" s="10" t="s">
        <v>631</v>
      </c>
      <c r="C225" s="11" t="s">
        <v>632</v>
      </c>
      <c r="D225" s="11" t="s">
        <v>633</v>
      </c>
      <c r="E225" s="12"/>
      <c r="F225" s="13">
        <v>130</v>
      </c>
      <c r="G225" s="7">
        <f t="shared" si="3"/>
        <v>0</v>
      </c>
      <c r="H225" s="13">
        <v>0</v>
      </c>
      <c r="I225" s="13">
        <v>1</v>
      </c>
      <c r="J225" s="13">
        <v>1</v>
      </c>
      <c r="K225" s="13">
        <v>0</v>
      </c>
    </row>
    <row r="226" spans="1:11" ht="56" customHeight="1" x14ac:dyDescent="0.15">
      <c r="A226" s="9">
        <v>1144</v>
      </c>
      <c r="B226" s="10" t="s">
        <v>634</v>
      </c>
      <c r="C226" s="11" t="s">
        <v>635</v>
      </c>
      <c r="D226" s="11" t="s">
        <v>636</v>
      </c>
      <c r="E226" s="12"/>
      <c r="F226" s="13">
        <v>28</v>
      </c>
      <c r="G226" s="7">
        <f t="shared" si="3"/>
        <v>0</v>
      </c>
      <c r="H226" s="13">
        <v>0</v>
      </c>
      <c r="I226" s="13">
        <v>1</v>
      </c>
      <c r="J226" s="13">
        <v>1</v>
      </c>
      <c r="K226" s="13">
        <v>0</v>
      </c>
    </row>
    <row r="227" spans="1:11" ht="56" customHeight="1" x14ac:dyDescent="0.15">
      <c r="A227" s="9">
        <v>6147</v>
      </c>
      <c r="B227" s="10" t="s">
        <v>637</v>
      </c>
      <c r="C227" s="11" t="s">
        <v>638</v>
      </c>
      <c r="D227" s="11" t="s">
        <v>290</v>
      </c>
      <c r="E227" s="13">
        <v>24</v>
      </c>
      <c r="F227" s="13">
        <v>28</v>
      </c>
      <c r="G227" s="7">
        <f t="shared" si="3"/>
        <v>0</v>
      </c>
      <c r="H227" s="13">
        <v>53</v>
      </c>
      <c r="I227" s="13">
        <v>4</v>
      </c>
      <c r="J227" s="13">
        <v>57</v>
      </c>
      <c r="K227" s="14">
        <v>3.9700000000000001E-6</v>
      </c>
    </row>
    <row r="228" spans="1:11" ht="44" customHeight="1" x14ac:dyDescent="0.15">
      <c r="A228" s="9">
        <v>6194</v>
      </c>
      <c r="B228" s="10" t="s">
        <v>639</v>
      </c>
      <c r="C228" s="11" t="s">
        <v>640</v>
      </c>
      <c r="D228" s="11" t="s">
        <v>641</v>
      </c>
      <c r="E228" s="12"/>
      <c r="F228" s="13">
        <v>67</v>
      </c>
      <c r="G228" s="7">
        <f t="shared" si="3"/>
        <v>0</v>
      </c>
      <c r="H228" s="13">
        <v>0</v>
      </c>
      <c r="I228" s="13">
        <v>1</v>
      </c>
      <c r="J228" s="13">
        <v>1</v>
      </c>
      <c r="K228" s="13">
        <v>0</v>
      </c>
    </row>
    <row r="229" spans="1:11" ht="44" customHeight="1" x14ac:dyDescent="0.15">
      <c r="A229" s="9">
        <v>538</v>
      </c>
      <c r="B229" s="10" t="s">
        <v>642</v>
      </c>
      <c r="C229" s="11" t="s">
        <v>643</v>
      </c>
      <c r="D229" s="11" t="s">
        <v>644</v>
      </c>
      <c r="E229" s="13">
        <v>3450</v>
      </c>
      <c r="F229" s="13">
        <v>3450</v>
      </c>
      <c r="G229" s="7">
        <f t="shared" si="3"/>
        <v>1</v>
      </c>
      <c r="H229" s="13">
        <v>59</v>
      </c>
      <c r="I229" s="13">
        <v>5</v>
      </c>
      <c r="J229" s="13">
        <v>64</v>
      </c>
      <c r="K229" s="18">
        <v>4.6E-6</v>
      </c>
    </row>
    <row r="230" spans="1:11" ht="56" customHeight="1" x14ac:dyDescent="0.15">
      <c r="A230" s="9">
        <v>263</v>
      </c>
      <c r="B230" s="10" t="s">
        <v>645</v>
      </c>
      <c r="C230" s="11" t="s">
        <v>646</v>
      </c>
      <c r="D230" s="11" t="s">
        <v>208</v>
      </c>
      <c r="E230" s="12"/>
      <c r="F230" s="13">
        <v>30</v>
      </c>
      <c r="G230" s="7">
        <f t="shared" si="3"/>
        <v>0</v>
      </c>
      <c r="H230" s="13">
        <v>0</v>
      </c>
      <c r="I230" s="13">
        <v>1</v>
      </c>
      <c r="J230" s="13">
        <v>1</v>
      </c>
      <c r="K230" s="13">
        <v>0</v>
      </c>
    </row>
    <row r="231" spans="1:11" ht="56" customHeight="1" x14ac:dyDescent="0.15">
      <c r="A231" s="9">
        <v>5992</v>
      </c>
      <c r="B231" s="10" t="s">
        <v>647</v>
      </c>
      <c r="C231" s="11" t="s">
        <v>648</v>
      </c>
      <c r="D231" s="11" t="s">
        <v>649</v>
      </c>
      <c r="E231" s="12"/>
      <c r="F231" s="13">
        <v>5000</v>
      </c>
      <c r="G231" s="7">
        <f t="shared" si="3"/>
        <v>0</v>
      </c>
      <c r="H231" s="13">
        <v>0</v>
      </c>
      <c r="I231" s="13">
        <v>1</v>
      </c>
      <c r="J231" s="13">
        <v>1</v>
      </c>
      <c r="K231" s="13">
        <v>0</v>
      </c>
    </row>
    <row r="232" spans="1:11" ht="44" customHeight="1" x14ac:dyDescent="0.15">
      <c r="A232" s="9">
        <v>7423</v>
      </c>
      <c r="B232" s="10" t="s">
        <v>650</v>
      </c>
      <c r="C232" s="11" t="s">
        <v>651</v>
      </c>
      <c r="D232" s="11" t="s">
        <v>405</v>
      </c>
      <c r="E232" s="13">
        <v>40</v>
      </c>
      <c r="F232" s="13">
        <v>10</v>
      </c>
      <c r="G232" s="7">
        <f t="shared" si="3"/>
        <v>0</v>
      </c>
      <c r="H232" s="13">
        <v>67</v>
      </c>
      <c r="I232" s="13">
        <v>4</v>
      </c>
      <c r="J232" s="13">
        <v>71</v>
      </c>
      <c r="K232" s="14">
        <v>4.6700000000000002E-6</v>
      </c>
    </row>
    <row r="233" spans="1:11" ht="104" customHeight="1" x14ac:dyDescent="0.15">
      <c r="A233" s="9">
        <v>5693</v>
      </c>
      <c r="B233" s="10" t="s">
        <v>652</v>
      </c>
      <c r="C233" s="11" t="s">
        <v>653</v>
      </c>
      <c r="D233" s="11" t="s">
        <v>654</v>
      </c>
      <c r="E233" s="13">
        <v>30</v>
      </c>
      <c r="F233" s="13">
        <v>34</v>
      </c>
      <c r="G233" s="7">
        <f t="shared" si="3"/>
        <v>0</v>
      </c>
      <c r="H233" s="13">
        <v>122</v>
      </c>
      <c r="I233" s="13">
        <v>4</v>
      </c>
      <c r="J233" s="13">
        <v>126</v>
      </c>
      <c r="K233" s="14">
        <v>7.4200000000000001E-6</v>
      </c>
    </row>
    <row r="234" spans="1:11" ht="56" customHeight="1" x14ac:dyDescent="0.15">
      <c r="A234" s="9">
        <v>5214</v>
      </c>
      <c r="B234" s="10" t="s">
        <v>655</v>
      </c>
      <c r="C234" s="11" t="s">
        <v>656</v>
      </c>
      <c r="D234" s="11" t="s">
        <v>657</v>
      </c>
      <c r="E234" s="12"/>
      <c r="F234" s="13">
        <v>120</v>
      </c>
      <c r="G234" s="7">
        <f t="shared" si="3"/>
        <v>0</v>
      </c>
      <c r="H234" s="13">
        <v>0</v>
      </c>
      <c r="I234" s="13">
        <v>1</v>
      </c>
      <c r="J234" s="13">
        <v>1</v>
      </c>
      <c r="K234" s="13">
        <v>0</v>
      </c>
    </row>
    <row r="235" spans="1:11" ht="56" customHeight="1" x14ac:dyDescent="0.15">
      <c r="A235" s="9">
        <v>1859</v>
      </c>
      <c r="B235" s="10" t="s">
        <v>658</v>
      </c>
      <c r="C235" s="11" t="s">
        <v>659</v>
      </c>
      <c r="D235" s="11" t="s">
        <v>660</v>
      </c>
      <c r="E235" s="12"/>
      <c r="F235" s="13">
        <v>2100</v>
      </c>
      <c r="G235" s="7">
        <f t="shared" si="3"/>
        <v>0</v>
      </c>
      <c r="H235" s="13">
        <v>0</v>
      </c>
      <c r="I235" s="13">
        <v>1</v>
      </c>
      <c r="J235" s="13">
        <v>1</v>
      </c>
      <c r="K235" s="13">
        <v>0</v>
      </c>
    </row>
    <row r="236" spans="1:11" ht="104" customHeight="1" x14ac:dyDescent="0.15">
      <c r="A236" s="9">
        <v>2802</v>
      </c>
      <c r="B236" s="10" t="s">
        <v>661</v>
      </c>
      <c r="C236" s="11" t="s">
        <v>662</v>
      </c>
      <c r="D236" s="11" t="s">
        <v>258</v>
      </c>
      <c r="E236" s="13">
        <v>60</v>
      </c>
      <c r="F236" s="13">
        <v>112</v>
      </c>
      <c r="G236" s="7">
        <f t="shared" si="3"/>
        <v>0</v>
      </c>
      <c r="H236" s="13">
        <v>71</v>
      </c>
      <c r="I236" s="13">
        <v>4</v>
      </c>
      <c r="J236" s="13">
        <v>75</v>
      </c>
      <c r="K236" s="14">
        <v>4.87E-6</v>
      </c>
    </row>
    <row r="237" spans="1:11" ht="68" customHeight="1" x14ac:dyDescent="0.15">
      <c r="A237" s="9">
        <v>6267</v>
      </c>
      <c r="B237" s="10" t="s">
        <v>663</v>
      </c>
      <c r="C237" s="11" t="s">
        <v>664</v>
      </c>
      <c r="D237" s="11" t="s">
        <v>665</v>
      </c>
      <c r="E237" s="12"/>
      <c r="F237" s="13">
        <v>288</v>
      </c>
      <c r="G237" s="7">
        <f t="shared" si="3"/>
        <v>0</v>
      </c>
      <c r="H237" s="13">
        <v>0</v>
      </c>
      <c r="I237" s="13">
        <v>1</v>
      </c>
      <c r="J237" s="13">
        <v>1</v>
      </c>
      <c r="K237" s="13">
        <v>0</v>
      </c>
    </row>
    <row r="238" spans="1:11" ht="92" customHeight="1" x14ac:dyDescent="0.15">
      <c r="A238" s="9">
        <v>3045</v>
      </c>
      <c r="B238" s="10" t="s">
        <v>666</v>
      </c>
      <c r="C238" s="11" t="s">
        <v>667</v>
      </c>
      <c r="D238" s="11" t="s">
        <v>34</v>
      </c>
      <c r="E238" s="13">
        <v>50</v>
      </c>
      <c r="F238" s="13">
        <v>950</v>
      </c>
      <c r="G238" s="7">
        <f t="shared" si="3"/>
        <v>0</v>
      </c>
      <c r="H238" s="13">
        <v>107</v>
      </c>
      <c r="I238" s="13">
        <v>4</v>
      </c>
      <c r="J238" s="13">
        <v>111</v>
      </c>
      <c r="K238" s="14">
        <v>6.6699999999999997E-6</v>
      </c>
    </row>
    <row r="239" spans="1:11" ht="80" customHeight="1" x14ac:dyDescent="0.15">
      <c r="A239" s="9">
        <v>2124</v>
      </c>
      <c r="B239" s="10" t="s">
        <v>668</v>
      </c>
      <c r="C239" s="11" t="s">
        <v>669</v>
      </c>
      <c r="D239" s="11" t="s">
        <v>81</v>
      </c>
      <c r="E239" s="13">
        <v>6</v>
      </c>
      <c r="F239" s="13">
        <v>15</v>
      </c>
      <c r="G239" s="7">
        <f t="shared" si="3"/>
        <v>0</v>
      </c>
      <c r="H239" s="13">
        <v>84</v>
      </c>
      <c r="I239" s="13">
        <v>4</v>
      </c>
      <c r="J239" s="13">
        <v>88</v>
      </c>
      <c r="K239" s="14">
        <v>5.5199999999999997E-6</v>
      </c>
    </row>
    <row r="240" spans="1:11" ht="116" customHeight="1" x14ac:dyDescent="0.15">
      <c r="A240" s="9">
        <v>6608</v>
      </c>
      <c r="B240" s="10" t="s">
        <v>670</v>
      </c>
      <c r="C240" s="11" t="s">
        <v>671</v>
      </c>
      <c r="D240" s="11" t="s">
        <v>672</v>
      </c>
      <c r="E240" s="12"/>
      <c r="F240" s="12"/>
      <c r="G240" s="7">
        <f t="shared" si="3"/>
        <v>0</v>
      </c>
      <c r="H240" s="13">
        <v>118</v>
      </c>
      <c r="I240" s="13">
        <v>31</v>
      </c>
      <c r="J240" s="13">
        <v>149</v>
      </c>
      <c r="K240" s="16">
        <v>1.613E-5</v>
      </c>
    </row>
    <row r="241" spans="1:11" ht="68" customHeight="1" x14ac:dyDescent="0.15">
      <c r="A241" s="9">
        <v>1502</v>
      </c>
      <c r="B241" s="10" t="s">
        <v>673</v>
      </c>
      <c r="C241" s="11" t="s">
        <v>674</v>
      </c>
      <c r="D241" s="11" t="s">
        <v>675</v>
      </c>
      <c r="E241" s="13">
        <v>21</v>
      </c>
      <c r="F241" s="13">
        <v>4</v>
      </c>
      <c r="G241" s="7">
        <f t="shared" si="3"/>
        <v>0</v>
      </c>
      <c r="H241" s="13">
        <v>93</v>
      </c>
      <c r="I241" s="13">
        <v>4</v>
      </c>
      <c r="J241" s="13">
        <v>97</v>
      </c>
      <c r="K241" s="14">
        <v>5.9699999999999996E-6</v>
      </c>
    </row>
    <row r="242" spans="1:11" ht="116" customHeight="1" x14ac:dyDescent="0.15">
      <c r="A242" s="9">
        <v>4371</v>
      </c>
      <c r="B242" s="10" t="s">
        <v>676</v>
      </c>
      <c r="C242" s="11" t="s">
        <v>677</v>
      </c>
      <c r="D242" s="11" t="s">
        <v>678</v>
      </c>
      <c r="E242" s="12"/>
      <c r="F242" s="13">
        <v>28</v>
      </c>
      <c r="G242" s="7">
        <f t="shared" si="3"/>
        <v>0</v>
      </c>
      <c r="H242" s="13">
        <v>0</v>
      </c>
      <c r="I242" s="13">
        <v>1</v>
      </c>
      <c r="J242" s="13">
        <v>1</v>
      </c>
      <c r="K242" s="13">
        <v>0</v>
      </c>
    </row>
    <row r="243" spans="1:11" ht="68" customHeight="1" x14ac:dyDescent="0.15">
      <c r="A243" s="9">
        <v>3574</v>
      </c>
      <c r="B243" s="10" t="s">
        <v>679</v>
      </c>
      <c r="C243" s="11" t="s">
        <v>680</v>
      </c>
      <c r="D243" s="11" t="s">
        <v>51</v>
      </c>
      <c r="E243" s="13">
        <v>18</v>
      </c>
      <c r="F243" s="13">
        <v>72</v>
      </c>
      <c r="G243" s="7">
        <f t="shared" si="3"/>
        <v>0</v>
      </c>
      <c r="H243" s="13">
        <v>108</v>
      </c>
      <c r="I243" s="13">
        <v>4</v>
      </c>
      <c r="J243" s="13">
        <v>112</v>
      </c>
      <c r="K243" s="14">
        <v>6.72E-6</v>
      </c>
    </row>
    <row r="244" spans="1:11" ht="116" customHeight="1" x14ac:dyDescent="0.15">
      <c r="A244" s="9">
        <v>1952</v>
      </c>
      <c r="B244" s="10" t="s">
        <v>681</v>
      </c>
      <c r="C244" s="11" t="s">
        <v>682</v>
      </c>
      <c r="D244" s="11" t="s">
        <v>683</v>
      </c>
      <c r="E244" s="12"/>
      <c r="F244" s="13">
        <v>12</v>
      </c>
      <c r="G244" s="7">
        <f t="shared" si="3"/>
        <v>0</v>
      </c>
      <c r="H244" s="13">
        <v>0</v>
      </c>
      <c r="I244" s="13">
        <v>1</v>
      </c>
      <c r="J244" s="13">
        <v>1</v>
      </c>
      <c r="K244" s="13">
        <v>0</v>
      </c>
    </row>
    <row r="245" spans="1:11" ht="44" customHeight="1" x14ac:dyDescent="0.15">
      <c r="A245" s="9">
        <v>1565</v>
      </c>
      <c r="B245" s="10" t="s">
        <v>684</v>
      </c>
      <c r="C245" s="11" t="s">
        <v>685</v>
      </c>
      <c r="D245" s="11" t="s">
        <v>208</v>
      </c>
      <c r="E245" s="12"/>
      <c r="F245" s="13">
        <v>13</v>
      </c>
      <c r="G245" s="7">
        <f t="shared" si="3"/>
        <v>0</v>
      </c>
      <c r="H245" s="13">
        <v>0</v>
      </c>
      <c r="I245" s="13">
        <v>1</v>
      </c>
      <c r="J245" s="13">
        <v>1</v>
      </c>
      <c r="K245" s="13">
        <v>0</v>
      </c>
    </row>
    <row r="246" spans="1:11" ht="56" customHeight="1" x14ac:dyDescent="0.15">
      <c r="A246" s="9">
        <v>1840</v>
      </c>
      <c r="B246" s="10" t="s">
        <v>686</v>
      </c>
      <c r="C246" s="11" t="s">
        <v>687</v>
      </c>
      <c r="D246" s="11" t="s">
        <v>258</v>
      </c>
      <c r="E246" s="13">
        <v>60</v>
      </c>
      <c r="F246" s="13">
        <v>4</v>
      </c>
      <c r="G246" s="7">
        <f t="shared" si="3"/>
        <v>0</v>
      </c>
      <c r="H246" s="13">
        <v>72</v>
      </c>
      <c r="I246" s="13">
        <v>4</v>
      </c>
      <c r="J246" s="13">
        <v>76</v>
      </c>
      <c r="K246" s="14">
        <v>4.9200000000000003E-6</v>
      </c>
    </row>
    <row r="247" spans="1:11" ht="56" customHeight="1" x14ac:dyDescent="0.15">
      <c r="A247" s="9">
        <v>3153</v>
      </c>
      <c r="B247" s="10" t="s">
        <v>688</v>
      </c>
      <c r="C247" s="11" t="s">
        <v>689</v>
      </c>
      <c r="D247" s="11" t="s">
        <v>258</v>
      </c>
      <c r="E247" s="13">
        <v>60</v>
      </c>
      <c r="F247" s="13">
        <v>60</v>
      </c>
      <c r="G247" s="7">
        <f t="shared" si="3"/>
        <v>1</v>
      </c>
      <c r="H247" s="13">
        <v>70</v>
      </c>
      <c r="I247" s="13">
        <v>4</v>
      </c>
      <c r="J247" s="13">
        <v>74</v>
      </c>
      <c r="K247" s="14">
        <v>4.8199999999999996E-6</v>
      </c>
    </row>
    <row r="248" spans="1:11" ht="80" customHeight="1" x14ac:dyDescent="0.15">
      <c r="A248" s="9">
        <v>6138</v>
      </c>
      <c r="B248" s="10" t="s">
        <v>690</v>
      </c>
      <c r="C248" s="11" t="s">
        <v>691</v>
      </c>
      <c r="D248" s="11" t="s">
        <v>654</v>
      </c>
      <c r="E248" s="13">
        <v>30</v>
      </c>
      <c r="F248" s="13">
        <v>30</v>
      </c>
      <c r="G248" s="7">
        <f t="shared" si="3"/>
        <v>1</v>
      </c>
      <c r="H248" s="13">
        <v>107</v>
      </c>
      <c r="I248" s="13">
        <v>4</v>
      </c>
      <c r="J248" s="13">
        <v>111</v>
      </c>
      <c r="K248" s="14">
        <v>6.6699999999999997E-6</v>
      </c>
    </row>
    <row r="249" spans="1:11" ht="68" customHeight="1" x14ac:dyDescent="0.15">
      <c r="A249" s="9">
        <v>5888</v>
      </c>
      <c r="B249" s="10" t="s">
        <v>692</v>
      </c>
      <c r="C249" s="11" t="s">
        <v>693</v>
      </c>
      <c r="D249" s="11" t="s">
        <v>694</v>
      </c>
      <c r="E249" s="13">
        <v>480</v>
      </c>
      <c r="F249" s="13">
        <v>920</v>
      </c>
      <c r="G249" s="7">
        <f t="shared" si="3"/>
        <v>0</v>
      </c>
      <c r="H249" s="13">
        <v>80</v>
      </c>
      <c r="I249" s="13">
        <v>4</v>
      </c>
      <c r="J249" s="13">
        <v>84</v>
      </c>
      <c r="K249" s="14">
        <v>5.3199999999999999E-6</v>
      </c>
    </row>
    <row r="250" spans="1:11" ht="68" customHeight="1" x14ac:dyDescent="0.15">
      <c r="A250" s="9">
        <v>5006</v>
      </c>
      <c r="B250" s="10" t="s">
        <v>695</v>
      </c>
      <c r="C250" s="11" t="s">
        <v>696</v>
      </c>
      <c r="D250" s="11" t="s">
        <v>697</v>
      </c>
      <c r="E250" s="12"/>
      <c r="F250" s="13">
        <v>3</v>
      </c>
      <c r="G250" s="7">
        <f t="shared" si="3"/>
        <v>0</v>
      </c>
      <c r="H250" s="13">
        <v>0</v>
      </c>
      <c r="I250" s="13">
        <v>1</v>
      </c>
      <c r="J250" s="13">
        <v>1</v>
      </c>
      <c r="K250" s="13">
        <v>0</v>
      </c>
    </row>
    <row r="251" spans="1:11" ht="68" customHeight="1" x14ac:dyDescent="0.15">
      <c r="A251" s="9">
        <v>3142</v>
      </c>
      <c r="B251" s="10" t="s">
        <v>698</v>
      </c>
      <c r="C251" s="11" t="s">
        <v>699</v>
      </c>
      <c r="D251" s="11" t="s">
        <v>700</v>
      </c>
      <c r="E251" s="12"/>
      <c r="F251" s="13">
        <v>4000</v>
      </c>
      <c r="G251" s="7">
        <f t="shared" si="3"/>
        <v>0</v>
      </c>
      <c r="H251" s="13">
        <v>0</v>
      </c>
      <c r="I251" s="13">
        <v>1</v>
      </c>
      <c r="J251" s="13">
        <v>1</v>
      </c>
      <c r="K251" s="13">
        <v>0</v>
      </c>
    </row>
    <row r="252" spans="1:11" ht="104" customHeight="1" x14ac:dyDescent="0.15">
      <c r="A252" s="9">
        <v>1412</v>
      </c>
      <c r="B252" s="10" t="s">
        <v>701</v>
      </c>
      <c r="C252" s="11" t="s">
        <v>702</v>
      </c>
      <c r="D252" s="11" t="s">
        <v>703</v>
      </c>
      <c r="E252" s="12"/>
      <c r="F252" s="13">
        <v>294</v>
      </c>
      <c r="G252" s="7">
        <f t="shared" si="3"/>
        <v>0</v>
      </c>
      <c r="H252" s="13">
        <v>0</v>
      </c>
      <c r="I252" s="13">
        <v>1</v>
      </c>
      <c r="J252" s="13">
        <v>1</v>
      </c>
      <c r="K252" s="13">
        <v>0</v>
      </c>
    </row>
    <row r="253" spans="1:11" ht="80" customHeight="1" x14ac:dyDescent="0.15">
      <c r="A253" s="9">
        <v>2318</v>
      </c>
      <c r="B253" s="10" t="s">
        <v>704</v>
      </c>
      <c r="C253" s="11" t="s">
        <v>705</v>
      </c>
      <c r="D253" s="11" t="s">
        <v>706</v>
      </c>
      <c r="E253" s="12"/>
      <c r="F253" s="13">
        <v>4</v>
      </c>
      <c r="G253" s="7">
        <f t="shared" si="3"/>
        <v>0</v>
      </c>
      <c r="H253" s="13">
        <v>0</v>
      </c>
      <c r="I253" s="13">
        <v>1</v>
      </c>
      <c r="J253" s="13">
        <v>1</v>
      </c>
      <c r="K253" s="13">
        <v>0</v>
      </c>
    </row>
    <row r="254" spans="1:11" ht="56" customHeight="1" x14ac:dyDescent="0.15">
      <c r="A254" s="9">
        <v>1302</v>
      </c>
      <c r="B254" s="10" t="s">
        <v>707</v>
      </c>
      <c r="C254" s="11" t="s">
        <v>708</v>
      </c>
      <c r="D254" s="11" t="s">
        <v>709</v>
      </c>
      <c r="E254" s="12"/>
      <c r="F254" s="13">
        <v>320</v>
      </c>
      <c r="G254" s="7">
        <f t="shared" si="3"/>
        <v>0</v>
      </c>
      <c r="H254" s="13">
        <v>76</v>
      </c>
      <c r="I254" s="13">
        <v>8</v>
      </c>
      <c r="J254" s="13">
        <v>84</v>
      </c>
      <c r="K254" s="14">
        <v>6.4400000000000002E-6</v>
      </c>
    </row>
    <row r="255" spans="1:11" ht="68" customHeight="1" x14ac:dyDescent="0.15">
      <c r="A255" s="9">
        <v>2818</v>
      </c>
      <c r="B255" s="10" t="s">
        <v>710</v>
      </c>
      <c r="C255" s="11" t="s">
        <v>711</v>
      </c>
      <c r="D255" s="11" t="s">
        <v>712</v>
      </c>
      <c r="E255" s="12"/>
      <c r="F255" s="13">
        <v>275</v>
      </c>
      <c r="G255" s="7">
        <f t="shared" si="3"/>
        <v>0</v>
      </c>
      <c r="H255" s="13">
        <v>0</v>
      </c>
      <c r="I255" s="13">
        <v>1</v>
      </c>
      <c r="J255" s="13">
        <v>1</v>
      </c>
      <c r="K255" s="13">
        <v>0</v>
      </c>
    </row>
    <row r="256" spans="1:11" ht="44" customHeight="1" x14ac:dyDescent="0.15">
      <c r="A256" s="9">
        <v>2441</v>
      </c>
      <c r="B256" s="10" t="s">
        <v>713</v>
      </c>
      <c r="C256" s="11" t="s">
        <v>714</v>
      </c>
      <c r="D256" s="11" t="s">
        <v>13</v>
      </c>
      <c r="E256" s="13">
        <v>10</v>
      </c>
      <c r="F256" s="13">
        <v>5</v>
      </c>
      <c r="G256" s="7">
        <f t="shared" si="3"/>
        <v>0</v>
      </c>
      <c r="H256" s="13">
        <v>68</v>
      </c>
      <c r="I256" s="13">
        <v>4</v>
      </c>
      <c r="J256" s="13">
        <v>72</v>
      </c>
      <c r="K256" s="14">
        <v>4.7199999999999997E-6</v>
      </c>
    </row>
    <row r="257" spans="1:11" ht="68" customHeight="1" x14ac:dyDescent="0.15">
      <c r="A257" s="9">
        <v>4340</v>
      </c>
      <c r="B257" s="10" t="s">
        <v>715</v>
      </c>
      <c r="C257" s="11" t="s">
        <v>716</v>
      </c>
      <c r="D257" s="11" t="s">
        <v>717</v>
      </c>
      <c r="E257" s="12"/>
      <c r="F257" s="13">
        <v>300</v>
      </c>
      <c r="G257" s="7">
        <f t="shared" si="3"/>
        <v>0</v>
      </c>
      <c r="H257" s="13">
        <v>0</v>
      </c>
      <c r="I257" s="13">
        <v>1</v>
      </c>
      <c r="J257" s="13">
        <v>1</v>
      </c>
      <c r="K257" s="13">
        <v>0</v>
      </c>
    </row>
    <row r="258" spans="1:11" ht="44" customHeight="1" x14ac:dyDescent="0.15">
      <c r="A258" s="9">
        <v>5812</v>
      </c>
      <c r="B258" s="10" t="s">
        <v>718</v>
      </c>
      <c r="C258" s="11" t="s">
        <v>719</v>
      </c>
      <c r="D258" s="11" t="s">
        <v>75</v>
      </c>
      <c r="E258" s="13">
        <v>4</v>
      </c>
      <c r="F258" s="13">
        <v>4</v>
      </c>
      <c r="G258" s="7">
        <f t="shared" si="3"/>
        <v>1</v>
      </c>
      <c r="H258" s="13">
        <v>83</v>
      </c>
      <c r="I258" s="13">
        <v>4</v>
      </c>
      <c r="J258" s="13">
        <v>87</v>
      </c>
      <c r="K258" s="15">
        <v>5.5647000000000003E-6</v>
      </c>
    </row>
    <row r="259" spans="1:11" ht="56" customHeight="1" x14ac:dyDescent="0.15">
      <c r="A259" s="9">
        <v>4836</v>
      </c>
      <c r="B259" s="10" t="s">
        <v>720</v>
      </c>
      <c r="C259" s="11" t="s">
        <v>721</v>
      </c>
      <c r="D259" s="11" t="s">
        <v>722</v>
      </c>
      <c r="E259" s="13">
        <v>3600</v>
      </c>
      <c r="F259" s="13">
        <v>3600</v>
      </c>
      <c r="G259" s="7">
        <f t="shared" si="3"/>
        <v>1</v>
      </c>
      <c r="H259" s="13">
        <v>92</v>
      </c>
      <c r="I259" s="13">
        <v>5</v>
      </c>
      <c r="J259" s="13">
        <v>97</v>
      </c>
      <c r="K259" s="14">
        <v>6.2500000000000003E-6</v>
      </c>
    </row>
    <row r="260" spans="1:11" ht="44" customHeight="1" x14ac:dyDescent="0.15">
      <c r="A260" s="9">
        <v>5874</v>
      </c>
      <c r="B260" s="10" t="s">
        <v>723</v>
      </c>
      <c r="C260" s="11" t="s">
        <v>724</v>
      </c>
      <c r="D260" s="11" t="s">
        <v>725</v>
      </c>
      <c r="E260" s="12"/>
      <c r="F260" s="13">
        <v>48</v>
      </c>
      <c r="G260" s="7">
        <f t="shared" ref="G260:G323" si="4">IF(OR(ISBLANK(E260), ISBLANK(F260)), 0, IF(E260=F260, 1, 0))</f>
        <v>0</v>
      </c>
      <c r="H260" s="13">
        <v>0</v>
      </c>
      <c r="I260" s="13">
        <v>1</v>
      </c>
      <c r="J260" s="13">
        <v>1</v>
      </c>
      <c r="K260" s="13">
        <v>0</v>
      </c>
    </row>
    <row r="261" spans="1:11" ht="56" customHeight="1" x14ac:dyDescent="0.15">
      <c r="A261" s="9">
        <v>5509</v>
      </c>
      <c r="B261" s="10" t="s">
        <v>726</v>
      </c>
      <c r="C261" s="11" t="s">
        <v>727</v>
      </c>
      <c r="D261" s="11" t="s">
        <v>196</v>
      </c>
      <c r="E261" s="13">
        <v>16</v>
      </c>
      <c r="F261" s="13">
        <v>36</v>
      </c>
      <c r="G261" s="7">
        <f t="shared" si="4"/>
        <v>0</v>
      </c>
      <c r="H261" s="13">
        <v>70</v>
      </c>
      <c r="I261" s="13">
        <v>4</v>
      </c>
      <c r="J261" s="13">
        <v>74</v>
      </c>
      <c r="K261" s="14">
        <v>4.8199999999999996E-6</v>
      </c>
    </row>
    <row r="262" spans="1:11" ht="56" customHeight="1" x14ac:dyDescent="0.15">
      <c r="A262" s="9">
        <v>4411</v>
      </c>
      <c r="B262" s="10" t="s">
        <v>728</v>
      </c>
      <c r="C262" s="11" t="s">
        <v>729</v>
      </c>
      <c r="D262" s="11" t="s">
        <v>730</v>
      </c>
      <c r="E262" s="12"/>
      <c r="F262" s="13">
        <v>40</v>
      </c>
      <c r="G262" s="7">
        <f t="shared" si="4"/>
        <v>0</v>
      </c>
      <c r="H262" s="13">
        <v>0</v>
      </c>
      <c r="I262" s="13">
        <v>1</v>
      </c>
      <c r="J262" s="13">
        <v>1</v>
      </c>
      <c r="K262" s="13">
        <v>0</v>
      </c>
    </row>
    <row r="263" spans="1:11" ht="68" customHeight="1" x14ac:dyDescent="0.15">
      <c r="A263" s="9">
        <v>1922</v>
      </c>
      <c r="B263" s="10" t="s">
        <v>731</v>
      </c>
      <c r="C263" s="11" t="s">
        <v>732</v>
      </c>
      <c r="D263" s="11" t="s">
        <v>733</v>
      </c>
      <c r="E263" s="12"/>
      <c r="F263" s="13">
        <v>24</v>
      </c>
      <c r="G263" s="7">
        <f t="shared" si="4"/>
        <v>0</v>
      </c>
      <c r="H263" s="13">
        <v>0</v>
      </c>
      <c r="I263" s="13">
        <v>1</v>
      </c>
      <c r="J263" s="13">
        <v>1</v>
      </c>
      <c r="K263" s="13">
        <v>0</v>
      </c>
    </row>
    <row r="264" spans="1:11" ht="56" customHeight="1" x14ac:dyDescent="0.15">
      <c r="A264" s="9">
        <v>6375</v>
      </c>
      <c r="B264" s="10" t="s">
        <v>734</v>
      </c>
      <c r="C264" s="11" t="s">
        <v>735</v>
      </c>
      <c r="D264" s="11" t="s">
        <v>335</v>
      </c>
      <c r="E264" s="13">
        <v>11</v>
      </c>
      <c r="F264" s="13">
        <v>14</v>
      </c>
      <c r="G264" s="7">
        <f t="shared" si="4"/>
        <v>0</v>
      </c>
      <c r="H264" s="13">
        <v>93</v>
      </c>
      <c r="I264" s="13">
        <v>4</v>
      </c>
      <c r="J264" s="13">
        <v>97</v>
      </c>
      <c r="K264" s="14">
        <v>5.9699999999999996E-6</v>
      </c>
    </row>
    <row r="265" spans="1:11" ht="80" customHeight="1" x14ac:dyDescent="0.15">
      <c r="A265" s="9">
        <v>4128</v>
      </c>
      <c r="B265" s="10" t="s">
        <v>736</v>
      </c>
      <c r="C265" s="11" t="s">
        <v>737</v>
      </c>
      <c r="D265" s="11" t="s">
        <v>738</v>
      </c>
      <c r="E265" s="12"/>
      <c r="F265" s="13">
        <v>7</v>
      </c>
      <c r="G265" s="7">
        <f t="shared" si="4"/>
        <v>0</v>
      </c>
      <c r="H265" s="13">
        <v>133</v>
      </c>
      <c r="I265" s="13">
        <v>6</v>
      </c>
      <c r="J265" s="13">
        <v>139</v>
      </c>
      <c r="K265" s="14">
        <v>8.6300000000000004E-6</v>
      </c>
    </row>
    <row r="266" spans="1:11" ht="80" customHeight="1" x14ac:dyDescent="0.15">
      <c r="A266" s="9">
        <v>6951</v>
      </c>
      <c r="B266" s="10" t="s">
        <v>739</v>
      </c>
      <c r="C266" s="11" t="s">
        <v>740</v>
      </c>
      <c r="D266" s="11" t="s">
        <v>741</v>
      </c>
      <c r="E266" s="12"/>
      <c r="F266" s="12"/>
      <c r="G266" s="7">
        <f t="shared" si="4"/>
        <v>0</v>
      </c>
      <c r="H266" s="13">
        <v>130</v>
      </c>
      <c r="I266" s="13">
        <v>6</v>
      </c>
      <c r="J266" s="13">
        <v>136</v>
      </c>
      <c r="K266" s="14">
        <v>8.4800000000000001E-6</v>
      </c>
    </row>
    <row r="267" spans="1:11" ht="44" customHeight="1" x14ac:dyDescent="0.15">
      <c r="A267" s="9">
        <v>5465</v>
      </c>
      <c r="B267" s="10" t="s">
        <v>742</v>
      </c>
      <c r="C267" s="11" t="s">
        <v>743</v>
      </c>
      <c r="D267" s="11" t="s">
        <v>744</v>
      </c>
      <c r="E267" s="13">
        <v>684</v>
      </c>
      <c r="F267" s="13">
        <v>680</v>
      </c>
      <c r="G267" s="7">
        <f t="shared" si="4"/>
        <v>0</v>
      </c>
      <c r="H267" s="13">
        <v>73</v>
      </c>
      <c r="I267" s="13">
        <v>4</v>
      </c>
      <c r="J267" s="13">
        <v>77</v>
      </c>
      <c r="K267" s="14">
        <v>4.9699999999999998E-6</v>
      </c>
    </row>
    <row r="268" spans="1:11" ht="56" customHeight="1" x14ac:dyDescent="0.15">
      <c r="A268" s="9">
        <v>3149</v>
      </c>
      <c r="B268" s="10" t="s">
        <v>745</v>
      </c>
      <c r="C268" s="11" t="s">
        <v>746</v>
      </c>
      <c r="D268" s="11" t="s">
        <v>154</v>
      </c>
      <c r="E268" s="13">
        <v>20</v>
      </c>
      <c r="F268" s="13">
        <v>10</v>
      </c>
      <c r="G268" s="7">
        <f t="shared" si="4"/>
        <v>0</v>
      </c>
      <c r="H268" s="13">
        <v>83</v>
      </c>
      <c r="I268" s="13">
        <v>4</v>
      </c>
      <c r="J268" s="13">
        <v>87</v>
      </c>
      <c r="K268" s="15">
        <v>5.5647000000000003E-6</v>
      </c>
    </row>
    <row r="269" spans="1:11" ht="56" customHeight="1" x14ac:dyDescent="0.15">
      <c r="A269" s="9">
        <v>5624</v>
      </c>
      <c r="B269" s="10" t="s">
        <v>747</v>
      </c>
      <c r="C269" s="11" t="s">
        <v>748</v>
      </c>
      <c r="D269" s="11" t="s">
        <v>43</v>
      </c>
      <c r="E269" s="13">
        <v>35</v>
      </c>
      <c r="F269" s="13">
        <v>23</v>
      </c>
      <c r="G269" s="7">
        <f t="shared" si="4"/>
        <v>0</v>
      </c>
      <c r="H269" s="13">
        <v>75</v>
      </c>
      <c r="I269" s="13">
        <v>4</v>
      </c>
      <c r="J269" s="13">
        <v>79</v>
      </c>
      <c r="K269" s="14">
        <v>5.0699999999999997E-6</v>
      </c>
    </row>
    <row r="270" spans="1:11" ht="68" customHeight="1" x14ac:dyDescent="0.15">
      <c r="A270" s="9">
        <v>858</v>
      </c>
      <c r="B270" s="10" t="s">
        <v>749</v>
      </c>
      <c r="C270" s="11" t="s">
        <v>750</v>
      </c>
      <c r="D270" s="11" t="s">
        <v>751</v>
      </c>
      <c r="E270" s="12"/>
      <c r="F270" s="13">
        <v>7</v>
      </c>
      <c r="G270" s="7">
        <f t="shared" si="4"/>
        <v>0</v>
      </c>
      <c r="H270" s="13">
        <v>0</v>
      </c>
      <c r="I270" s="13">
        <v>1</v>
      </c>
      <c r="J270" s="13">
        <v>1</v>
      </c>
      <c r="K270" s="13">
        <v>0</v>
      </c>
    </row>
    <row r="271" spans="1:11" ht="44" customHeight="1" x14ac:dyDescent="0.15">
      <c r="A271" s="9">
        <v>6096</v>
      </c>
      <c r="B271" s="10" t="s">
        <v>752</v>
      </c>
      <c r="C271" s="11" t="s">
        <v>753</v>
      </c>
      <c r="D271" s="11" t="s">
        <v>19</v>
      </c>
      <c r="E271" s="13">
        <v>12</v>
      </c>
      <c r="F271" s="13">
        <v>12</v>
      </c>
      <c r="G271" s="7">
        <f t="shared" si="4"/>
        <v>1</v>
      </c>
      <c r="H271" s="13">
        <v>71</v>
      </c>
      <c r="I271" s="13">
        <v>4</v>
      </c>
      <c r="J271" s="13">
        <v>75</v>
      </c>
      <c r="K271" s="14">
        <v>4.87E-6</v>
      </c>
    </row>
    <row r="272" spans="1:11" ht="68" customHeight="1" x14ac:dyDescent="0.15">
      <c r="A272" s="9">
        <v>7368</v>
      </c>
      <c r="B272" s="10" t="s">
        <v>754</v>
      </c>
      <c r="C272" s="11" t="s">
        <v>755</v>
      </c>
      <c r="D272" s="11" t="s">
        <v>756</v>
      </c>
      <c r="E272" s="12"/>
      <c r="F272" s="13">
        <v>48</v>
      </c>
      <c r="G272" s="7">
        <f t="shared" si="4"/>
        <v>0</v>
      </c>
      <c r="H272" s="13">
        <v>0</v>
      </c>
      <c r="I272" s="13">
        <v>1</v>
      </c>
      <c r="J272" s="13">
        <v>1</v>
      </c>
      <c r="K272" s="13">
        <v>0</v>
      </c>
    </row>
    <row r="273" spans="1:11" ht="68" customHeight="1" x14ac:dyDescent="0.15">
      <c r="A273" s="9">
        <v>6156</v>
      </c>
      <c r="B273" s="10" t="s">
        <v>757</v>
      </c>
      <c r="C273" s="11" t="s">
        <v>758</v>
      </c>
      <c r="D273" s="11" t="s">
        <v>130</v>
      </c>
      <c r="E273" s="13">
        <v>80</v>
      </c>
      <c r="F273" s="13">
        <v>85</v>
      </c>
      <c r="G273" s="7">
        <f t="shared" si="4"/>
        <v>0</v>
      </c>
      <c r="H273" s="13">
        <v>66</v>
      </c>
      <c r="I273" s="13">
        <v>4</v>
      </c>
      <c r="J273" s="13">
        <v>70</v>
      </c>
      <c r="K273" s="14">
        <v>4.6199999999999998E-6</v>
      </c>
    </row>
    <row r="274" spans="1:11" ht="56" customHeight="1" x14ac:dyDescent="0.15">
      <c r="A274" s="9">
        <v>6867</v>
      </c>
      <c r="B274" s="10" t="s">
        <v>759</v>
      </c>
      <c r="C274" s="11" t="s">
        <v>760</v>
      </c>
      <c r="D274" s="11" t="s">
        <v>761</v>
      </c>
      <c r="E274" s="12"/>
      <c r="F274" s="13">
        <v>71</v>
      </c>
      <c r="G274" s="7">
        <f t="shared" si="4"/>
        <v>0</v>
      </c>
      <c r="H274" s="13">
        <v>82</v>
      </c>
      <c r="I274" s="13">
        <v>6</v>
      </c>
      <c r="J274" s="13">
        <v>88</v>
      </c>
      <c r="K274" s="14">
        <v>6.0800000000000002E-6</v>
      </c>
    </row>
    <row r="275" spans="1:11" ht="80" customHeight="1" x14ac:dyDescent="0.15">
      <c r="A275" s="9">
        <v>2227</v>
      </c>
      <c r="B275" s="10" t="s">
        <v>762</v>
      </c>
      <c r="C275" s="11" t="s">
        <v>763</v>
      </c>
      <c r="D275" s="11" t="s">
        <v>764</v>
      </c>
      <c r="E275" s="12"/>
      <c r="F275" s="13">
        <v>19</v>
      </c>
      <c r="G275" s="7">
        <f t="shared" si="4"/>
        <v>0</v>
      </c>
      <c r="H275" s="13">
        <v>0</v>
      </c>
      <c r="I275" s="13">
        <v>1</v>
      </c>
      <c r="J275" s="13">
        <v>1</v>
      </c>
      <c r="K275" s="13">
        <v>0</v>
      </c>
    </row>
    <row r="276" spans="1:11" ht="56" customHeight="1" x14ac:dyDescent="0.15">
      <c r="A276" s="9">
        <v>41</v>
      </c>
      <c r="B276" s="10" t="s">
        <v>765</v>
      </c>
      <c r="C276" s="11" t="s">
        <v>766</v>
      </c>
      <c r="D276" s="11" t="s">
        <v>767</v>
      </c>
      <c r="E276" s="12"/>
      <c r="F276" s="13">
        <v>500</v>
      </c>
      <c r="G276" s="7">
        <f t="shared" si="4"/>
        <v>0</v>
      </c>
      <c r="H276" s="13">
        <v>0</v>
      </c>
      <c r="I276" s="13">
        <v>1</v>
      </c>
      <c r="J276" s="13">
        <v>1</v>
      </c>
      <c r="K276" s="13">
        <v>0</v>
      </c>
    </row>
    <row r="277" spans="1:11" ht="68" customHeight="1" x14ac:dyDescent="0.15">
      <c r="A277" s="9">
        <v>2178</v>
      </c>
      <c r="B277" s="10" t="s">
        <v>768</v>
      </c>
      <c r="C277" s="11" t="s">
        <v>769</v>
      </c>
      <c r="D277" s="11" t="s">
        <v>770</v>
      </c>
      <c r="E277" s="12"/>
      <c r="F277" s="13">
        <v>60</v>
      </c>
      <c r="G277" s="7">
        <f t="shared" si="4"/>
        <v>0</v>
      </c>
      <c r="H277" s="13">
        <v>0</v>
      </c>
      <c r="I277" s="13">
        <v>1</v>
      </c>
      <c r="J277" s="13">
        <v>1</v>
      </c>
      <c r="K277" s="13">
        <v>0</v>
      </c>
    </row>
    <row r="278" spans="1:11" ht="44" customHeight="1" x14ac:dyDescent="0.15">
      <c r="A278" s="9">
        <v>1741</v>
      </c>
      <c r="B278" s="10" t="s">
        <v>771</v>
      </c>
      <c r="C278" s="11" t="s">
        <v>772</v>
      </c>
      <c r="D278" s="11" t="s">
        <v>37</v>
      </c>
      <c r="E278" s="13">
        <v>450</v>
      </c>
      <c r="F278" s="13">
        <v>1350</v>
      </c>
      <c r="G278" s="7">
        <f t="shared" si="4"/>
        <v>0</v>
      </c>
      <c r="H278" s="13">
        <v>92</v>
      </c>
      <c r="I278" s="13">
        <v>4</v>
      </c>
      <c r="J278" s="13">
        <v>96</v>
      </c>
      <c r="K278" s="15">
        <v>6.0228000000000002E-6</v>
      </c>
    </row>
    <row r="279" spans="1:11" ht="80" customHeight="1" x14ac:dyDescent="0.15">
      <c r="A279" s="9">
        <v>4989</v>
      </c>
      <c r="B279" s="10" t="s">
        <v>773</v>
      </c>
      <c r="C279" s="11" t="s">
        <v>774</v>
      </c>
      <c r="D279" s="11" t="s">
        <v>775</v>
      </c>
      <c r="E279" s="12"/>
      <c r="F279" s="13">
        <v>15</v>
      </c>
      <c r="G279" s="7">
        <f t="shared" si="4"/>
        <v>0</v>
      </c>
      <c r="H279" s="13">
        <v>0</v>
      </c>
      <c r="I279" s="13">
        <v>1</v>
      </c>
      <c r="J279" s="13">
        <v>1</v>
      </c>
      <c r="K279" s="13">
        <v>0</v>
      </c>
    </row>
    <row r="280" spans="1:11" ht="68" customHeight="1" x14ac:dyDescent="0.15">
      <c r="A280" s="9">
        <v>1618</v>
      </c>
      <c r="B280" s="10" t="s">
        <v>776</v>
      </c>
      <c r="C280" s="11" t="s">
        <v>777</v>
      </c>
      <c r="D280" s="11" t="s">
        <v>778</v>
      </c>
      <c r="E280" s="12"/>
      <c r="F280" s="13">
        <v>60</v>
      </c>
      <c r="G280" s="7">
        <f t="shared" si="4"/>
        <v>0</v>
      </c>
      <c r="H280" s="13">
        <v>0</v>
      </c>
      <c r="I280" s="13">
        <v>1</v>
      </c>
      <c r="J280" s="13">
        <v>1</v>
      </c>
      <c r="K280" s="13">
        <v>0</v>
      </c>
    </row>
    <row r="281" spans="1:11" ht="68" customHeight="1" x14ac:dyDescent="0.15">
      <c r="A281" s="9">
        <v>2405</v>
      </c>
      <c r="B281" s="10" t="s">
        <v>779</v>
      </c>
      <c r="C281" s="11" t="s">
        <v>780</v>
      </c>
      <c r="D281" s="11" t="s">
        <v>781</v>
      </c>
      <c r="E281" s="12"/>
      <c r="F281" s="13">
        <v>19</v>
      </c>
      <c r="G281" s="7">
        <f t="shared" si="4"/>
        <v>0</v>
      </c>
      <c r="H281" s="13">
        <v>0</v>
      </c>
      <c r="I281" s="13">
        <v>1</v>
      </c>
      <c r="J281" s="13">
        <v>1</v>
      </c>
      <c r="K281" s="13">
        <v>0</v>
      </c>
    </row>
    <row r="282" spans="1:11" ht="44" customHeight="1" x14ac:dyDescent="0.15">
      <c r="A282" s="9">
        <v>185</v>
      </c>
      <c r="B282" s="10" t="s">
        <v>782</v>
      </c>
      <c r="C282" s="11" t="s">
        <v>783</v>
      </c>
      <c r="D282" s="11" t="s">
        <v>174</v>
      </c>
      <c r="E282" s="13">
        <v>7</v>
      </c>
      <c r="F282" s="13">
        <v>4</v>
      </c>
      <c r="G282" s="7">
        <f t="shared" si="4"/>
        <v>0</v>
      </c>
      <c r="H282" s="13">
        <v>74</v>
      </c>
      <c r="I282" s="13">
        <v>4</v>
      </c>
      <c r="J282" s="13">
        <v>78</v>
      </c>
      <c r="K282" s="14">
        <v>5.0200000000000002E-6</v>
      </c>
    </row>
    <row r="283" spans="1:11" ht="56" customHeight="1" x14ac:dyDescent="0.15">
      <c r="A283" s="9">
        <v>7120</v>
      </c>
      <c r="B283" s="10" t="s">
        <v>784</v>
      </c>
      <c r="C283" s="11" t="s">
        <v>785</v>
      </c>
      <c r="D283" s="11" t="s">
        <v>786</v>
      </c>
      <c r="E283" s="12"/>
      <c r="F283" s="13">
        <v>2400</v>
      </c>
      <c r="G283" s="7">
        <f t="shared" si="4"/>
        <v>0</v>
      </c>
      <c r="H283" s="13">
        <v>0</v>
      </c>
      <c r="I283" s="13">
        <v>1</v>
      </c>
      <c r="J283" s="13">
        <v>1</v>
      </c>
      <c r="K283" s="13">
        <v>0</v>
      </c>
    </row>
    <row r="284" spans="1:11" ht="44" customHeight="1" x14ac:dyDescent="0.15">
      <c r="A284" s="9">
        <v>5828</v>
      </c>
      <c r="B284" s="10" t="s">
        <v>787</v>
      </c>
      <c r="C284" s="11" t="s">
        <v>788</v>
      </c>
      <c r="D284" s="11" t="s">
        <v>789</v>
      </c>
      <c r="E284" s="12"/>
      <c r="F284" s="13">
        <v>94</v>
      </c>
      <c r="G284" s="7">
        <f t="shared" si="4"/>
        <v>0</v>
      </c>
      <c r="H284" s="13">
        <v>129</v>
      </c>
      <c r="I284" s="13">
        <v>6</v>
      </c>
      <c r="J284" s="13">
        <v>135</v>
      </c>
      <c r="K284" s="14">
        <v>8.4300000000000006E-6</v>
      </c>
    </row>
    <row r="285" spans="1:11" ht="56" customHeight="1" x14ac:dyDescent="0.15">
      <c r="A285" s="9">
        <v>3661</v>
      </c>
      <c r="B285" s="10" t="s">
        <v>790</v>
      </c>
      <c r="C285" s="11" t="s">
        <v>791</v>
      </c>
      <c r="D285" s="11" t="s">
        <v>208</v>
      </c>
      <c r="E285" s="12"/>
      <c r="F285" s="13">
        <v>53</v>
      </c>
      <c r="G285" s="7">
        <f t="shared" si="4"/>
        <v>0</v>
      </c>
      <c r="H285" s="13">
        <v>0</v>
      </c>
      <c r="I285" s="13">
        <v>1</v>
      </c>
      <c r="J285" s="13">
        <v>1</v>
      </c>
      <c r="K285" s="13">
        <v>0</v>
      </c>
    </row>
    <row r="286" spans="1:11" ht="44" customHeight="1" x14ac:dyDescent="0.15">
      <c r="A286" s="9">
        <v>965</v>
      </c>
      <c r="B286" s="10" t="s">
        <v>792</v>
      </c>
      <c r="C286" s="11" t="s">
        <v>793</v>
      </c>
      <c r="D286" s="11" t="s">
        <v>794</v>
      </c>
      <c r="E286" s="12"/>
      <c r="F286" s="13">
        <v>21</v>
      </c>
      <c r="G286" s="7">
        <f t="shared" si="4"/>
        <v>0</v>
      </c>
      <c r="H286" s="13">
        <v>0</v>
      </c>
      <c r="I286" s="13">
        <v>1</v>
      </c>
      <c r="J286" s="13">
        <v>1</v>
      </c>
      <c r="K286" s="13">
        <v>0</v>
      </c>
    </row>
    <row r="287" spans="1:11" ht="56" customHeight="1" x14ac:dyDescent="0.15">
      <c r="A287" s="9">
        <v>3538</v>
      </c>
      <c r="B287" s="10" t="s">
        <v>795</v>
      </c>
      <c r="C287" s="11" t="s">
        <v>796</v>
      </c>
      <c r="D287" s="11" t="s">
        <v>183</v>
      </c>
      <c r="E287" s="13">
        <v>8</v>
      </c>
      <c r="F287" s="13">
        <v>7</v>
      </c>
      <c r="G287" s="7">
        <f t="shared" si="4"/>
        <v>0</v>
      </c>
      <c r="H287" s="13">
        <v>94</v>
      </c>
      <c r="I287" s="13">
        <v>4</v>
      </c>
      <c r="J287" s="13">
        <v>98</v>
      </c>
      <c r="K287" s="14">
        <v>6.02E-6</v>
      </c>
    </row>
    <row r="288" spans="1:11" ht="68" customHeight="1" x14ac:dyDescent="0.15">
      <c r="A288" s="9">
        <v>1559</v>
      </c>
      <c r="B288" s="10" t="s">
        <v>797</v>
      </c>
      <c r="C288" s="11" t="s">
        <v>798</v>
      </c>
      <c r="D288" s="11" t="s">
        <v>799</v>
      </c>
      <c r="E288" s="12"/>
      <c r="F288" s="13">
        <v>4</v>
      </c>
      <c r="G288" s="7">
        <f t="shared" si="4"/>
        <v>0</v>
      </c>
      <c r="H288" s="13">
        <v>0</v>
      </c>
      <c r="I288" s="13">
        <v>1</v>
      </c>
      <c r="J288" s="13">
        <v>1</v>
      </c>
      <c r="K288" s="13">
        <v>0</v>
      </c>
    </row>
    <row r="289" spans="1:11" ht="56" customHeight="1" x14ac:dyDescent="0.15">
      <c r="A289" s="9">
        <v>87</v>
      </c>
      <c r="B289" s="10" t="s">
        <v>800</v>
      </c>
      <c r="C289" s="11" t="s">
        <v>801</v>
      </c>
      <c r="D289" s="11" t="s">
        <v>37</v>
      </c>
      <c r="E289" s="13">
        <v>450</v>
      </c>
      <c r="F289" s="13">
        <v>600</v>
      </c>
      <c r="G289" s="7">
        <f t="shared" si="4"/>
        <v>0</v>
      </c>
      <c r="H289" s="13">
        <v>80</v>
      </c>
      <c r="I289" s="13">
        <v>4</v>
      </c>
      <c r="J289" s="13">
        <v>84</v>
      </c>
      <c r="K289" s="14">
        <v>5.3199999999999999E-6</v>
      </c>
    </row>
    <row r="290" spans="1:11" ht="68" customHeight="1" x14ac:dyDescent="0.15">
      <c r="A290" s="9">
        <v>3340</v>
      </c>
      <c r="B290" s="10" t="s">
        <v>802</v>
      </c>
      <c r="C290" s="11" t="s">
        <v>803</v>
      </c>
      <c r="D290" s="11" t="s">
        <v>804</v>
      </c>
      <c r="E290" s="13">
        <v>105</v>
      </c>
      <c r="F290" s="13">
        <v>55</v>
      </c>
      <c r="G290" s="7">
        <f t="shared" si="4"/>
        <v>0</v>
      </c>
      <c r="H290" s="13">
        <v>82</v>
      </c>
      <c r="I290" s="13">
        <v>4</v>
      </c>
      <c r="J290" s="13">
        <v>86</v>
      </c>
      <c r="K290" s="14">
        <v>5.4199999999999998E-6</v>
      </c>
    </row>
    <row r="291" spans="1:11" ht="68" customHeight="1" x14ac:dyDescent="0.15">
      <c r="A291" s="9">
        <v>318</v>
      </c>
      <c r="B291" s="10" t="s">
        <v>805</v>
      </c>
      <c r="C291" s="11" t="s">
        <v>806</v>
      </c>
      <c r="D291" s="11" t="s">
        <v>807</v>
      </c>
      <c r="E291" s="12"/>
      <c r="F291" s="13">
        <v>220</v>
      </c>
      <c r="G291" s="7">
        <f t="shared" si="4"/>
        <v>0</v>
      </c>
      <c r="H291" s="13">
        <v>0</v>
      </c>
      <c r="I291" s="13">
        <v>1</v>
      </c>
      <c r="J291" s="13">
        <v>1</v>
      </c>
      <c r="K291" s="13">
        <v>0</v>
      </c>
    </row>
    <row r="292" spans="1:11" ht="56" customHeight="1" x14ac:dyDescent="0.15">
      <c r="A292" s="9">
        <v>4439</v>
      </c>
      <c r="B292" s="10" t="s">
        <v>808</v>
      </c>
      <c r="C292" s="11" t="s">
        <v>809</v>
      </c>
      <c r="D292" s="11" t="s">
        <v>810</v>
      </c>
      <c r="E292" s="13">
        <v>14</v>
      </c>
      <c r="F292" s="13">
        <v>13</v>
      </c>
      <c r="G292" s="7">
        <f t="shared" si="4"/>
        <v>0</v>
      </c>
      <c r="H292" s="13">
        <v>78</v>
      </c>
      <c r="I292" s="13">
        <v>4</v>
      </c>
      <c r="J292" s="13">
        <v>82</v>
      </c>
      <c r="K292" s="14">
        <v>5.22E-6</v>
      </c>
    </row>
    <row r="293" spans="1:11" ht="56" customHeight="1" x14ac:dyDescent="0.15">
      <c r="A293" s="9">
        <v>3282</v>
      </c>
      <c r="B293" s="10" t="s">
        <v>811</v>
      </c>
      <c r="C293" s="11" t="s">
        <v>812</v>
      </c>
      <c r="D293" s="11" t="s">
        <v>300</v>
      </c>
      <c r="E293" s="13">
        <v>25</v>
      </c>
      <c r="F293" s="13">
        <v>21</v>
      </c>
      <c r="G293" s="7">
        <f t="shared" si="4"/>
        <v>0</v>
      </c>
      <c r="H293" s="13">
        <v>83</v>
      </c>
      <c r="I293" s="13">
        <v>4</v>
      </c>
      <c r="J293" s="13">
        <v>87</v>
      </c>
      <c r="K293" s="14">
        <v>5.4700000000000001E-6</v>
      </c>
    </row>
    <row r="294" spans="1:11" ht="80" customHeight="1" x14ac:dyDescent="0.15">
      <c r="A294" s="9">
        <v>4568</v>
      </c>
      <c r="B294" s="10" t="s">
        <v>813</v>
      </c>
      <c r="C294" s="11" t="s">
        <v>814</v>
      </c>
      <c r="D294" s="11" t="s">
        <v>154</v>
      </c>
      <c r="E294" s="13">
        <v>20</v>
      </c>
      <c r="F294" s="13">
        <v>40</v>
      </c>
      <c r="G294" s="7">
        <f t="shared" si="4"/>
        <v>0</v>
      </c>
      <c r="H294" s="13">
        <v>68</v>
      </c>
      <c r="I294" s="13">
        <v>4</v>
      </c>
      <c r="J294" s="13">
        <v>72</v>
      </c>
      <c r="K294" s="14">
        <v>4.7199999999999997E-6</v>
      </c>
    </row>
    <row r="295" spans="1:11" ht="44" customHeight="1" x14ac:dyDescent="0.15">
      <c r="A295" s="9">
        <v>3997</v>
      </c>
      <c r="B295" s="10" t="s">
        <v>815</v>
      </c>
      <c r="C295" s="11" t="s">
        <v>816</v>
      </c>
      <c r="D295" s="11" t="s">
        <v>116</v>
      </c>
      <c r="E295" s="13">
        <v>56</v>
      </c>
      <c r="F295" s="13">
        <v>54</v>
      </c>
      <c r="G295" s="7">
        <f t="shared" si="4"/>
        <v>0</v>
      </c>
      <c r="H295" s="13">
        <v>86</v>
      </c>
      <c r="I295" s="13">
        <v>4</v>
      </c>
      <c r="J295" s="13">
        <v>90</v>
      </c>
      <c r="K295" s="14">
        <v>5.6200000000000004E-6</v>
      </c>
    </row>
    <row r="296" spans="1:11" ht="68" customHeight="1" x14ac:dyDescent="0.15">
      <c r="A296" s="9">
        <v>2280</v>
      </c>
      <c r="B296" s="10" t="s">
        <v>817</v>
      </c>
      <c r="C296" s="11" t="s">
        <v>818</v>
      </c>
      <c r="D296" s="11" t="s">
        <v>819</v>
      </c>
      <c r="E296" s="12"/>
      <c r="F296" s="13">
        <v>5</v>
      </c>
      <c r="G296" s="7">
        <f t="shared" si="4"/>
        <v>0</v>
      </c>
      <c r="H296" s="13">
        <v>0</v>
      </c>
      <c r="I296" s="13">
        <v>1</v>
      </c>
      <c r="J296" s="13">
        <v>1</v>
      </c>
      <c r="K296" s="13">
        <v>0</v>
      </c>
    </row>
    <row r="297" spans="1:11" ht="80" customHeight="1" x14ac:dyDescent="0.15">
      <c r="A297" s="9">
        <v>6494</v>
      </c>
      <c r="B297" s="10" t="s">
        <v>820</v>
      </c>
      <c r="C297" s="11" t="s">
        <v>821</v>
      </c>
      <c r="D297" s="11" t="s">
        <v>822</v>
      </c>
      <c r="E297" s="13">
        <v>18200</v>
      </c>
      <c r="F297" s="13">
        <v>24000</v>
      </c>
      <c r="G297" s="7">
        <f t="shared" si="4"/>
        <v>0</v>
      </c>
      <c r="H297" s="13">
        <v>120</v>
      </c>
      <c r="I297" s="13">
        <v>5</v>
      </c>
      <c r="J297" s="13">
        <v>125</v>
      </c>
      <c r="K297" s="14">
        <v>7.6499999999999996E-6</v>
      </c>
    </row>
    <row r="298" spans="1:11" ht="92" customHeight="1" x14ac:dyDescent="0.15">
      <c r="A298" s="9">
        <v>5417</v>
      </c>
      <c r="B298" s="10" t="s">
        <v>823</v>
      </c>
      <c r="C298" s="11" t="s">
        <v>824</v>
      </c>
      <c r="D298" s="11" t="s">
        <v>825</v>
      </c>
      <c r="E298" s="12"/>
      <c r="F298" s="13">
        <v>81</v>
      </c>
      <c r="G298" s="7">
        <f t="shared" si="4"/>
        <v>0</v>
      </c>
      <c r="H298" s="13">
        <v>0</v>
      </c>
      <c r="I298" s="13">
        <v>1</v>
      </c>
      <c r="J298" s="13">
        <v>1</v>
      </c>
      <c r="K298" s="13">
        <v>0</v>
      </c>
    </row>
    <row r="299" spans="1:11" ht="44" customHeight="1" x14ac:dyDescent="0.15">
      <c r="A299" s="9">
        <v>4467</v>
      </c>
      <c r="B299" s="10" t="s">
        <v>826</v>
      </c>
      <c r="C299" s="11" t="s">
        <v>827</v>
      </c>
      <c r="D299" s="11" t="s">
        <v>810</v>
      </c>
      <c r="E299" s="13">
        <v>14</v>
      </c>
      <c r="F299" s="13">
        <v>7</v>
      </c>
      <c r="G299" s="7">
        <f t="shared" si="4"/>
        <v>0</v>
      </c>
      <c r="H299" s="13">
        <v>82</v>
      </c>
      <c r="I299" s="13">
        <v>4</v>
      </c>
      <c r="J299" s="13">
        <v>86</v>
      </c>
      <c r="K299" s="14">
        <v>5.4199999999999998E-6</v>
      </c>
    </row>
    <row r="300" spans="1:11" ht="44" customHeight="1" x14ac:dyDescent="0.15">
      <c r="A300" s="9">
        <v>4810</v>
      </c>
      <c r="B300" s="10" t="s">
        <v>828</v>
      </c>
      <c r="C300" s="11" t="s">
        <v>829</v>
      </c>
      <c r="D300" s="11" t="s">
        <v>830</v>
      </c>
      <c r="E300" s="12"/>
      <c r="F300" s="13">
        <v>400</v>
      </c>
      <c r="G300" s="7">
        <f t="shared" si="4"/>
        <v>0</v>
      </c>
      <c r="H300" s="13">
        <v>0</v>
      </c>
      <c r="I300" s="13">
        <v>1</v>
      </c>
      <c r="J300" s="13">
        <v>1</v>
      </c>
      <c r="K300" s="13">
        <v>0</v>
      </c>
    </row>
    <row r="301" spans="1:11" ht="104" customHeight="1" x14ac:dyDescent="0.15">
      <c r="A301" s="9">
        <v>3534</v>
      </c>
      <c r="B301" s="10" t="s">
        <v>831</v>
      </c>
      <c r="C301" s="11" t="s">
        <v>832</v>
      </c>
      <c r="D301" s="11" t="s">
        <v>309</v>
      </c>
      <c r="E301" s="13">
        <v>15</v>
      </c>
      <c r="F301" s="13">
        <v>22</v>
      </c>
      <c r="G301" s="7">
        <f t="shared" si="4"/>
        <v>0</v>
      </c>
      <c r="H301" s="13">
        <v>79</v>
      </c>
      <c r="I301" s="13">
        <v>4</v>
      </c>
      <c r="J301" s="13">
        <v>83</v>
      </c>
      <c r="K301" s="14">
        <v>5.2700000000000004E-6</v>
      </c>
    </row>
    <row r="302" spans="1:11" ht="56" customHeight="1" x14ac:dyDescent="0.15">
      <c r="A302" s="9">
        <v>5681</v>
      </c>
      <c r="B302" s="10" t="s">
        <v>833</v>
      </c>
      <c r="C302" s="11" t="s">
        <v>834</v>
      </c>
      <c r="D302" s="11" t="s">
        <v>835</v>
      </c>
      <c r="E302" s="12"/>
      <c r="F302" s="13">
        <v>18</v>
      </c>
      <c r="G302" s="7">
        <f t="shared" si="4"/>
        <v>0</v>
      </c>
      <c r="H302" s="13">
        <v>0</v>
      </c>
      <c r="I302" s="13">
        <v>1</v>
      </c>
      <c r="J302" s="13">
        <v>1</v>
      </c>
      <c r="K302" s="13">
        <v>0</v>
      </c>
    </row>
    <row r="303" spans="1:11" ht="80" customHeight="1" x14ac:dyDescent="0.15">
      <c r="A303" s="9">
        <v>3050</v>
      </c>
      <c r="B303" s="10" t="s">
        <v>836</v>
      </c>
      <c r="C303" s="11" t="s">
        <v>837</v>
      </c>
      <c r="D303" s="11" t="s">
        <v>838</v>
      </c>
      <c r="E303" s="12"/>
      <c r="F303" s="13">
        <v>12</v>
      </c>
      <c r="G303" s="7">
        <f t="shared" si="4"/>
        <v>0</v>
      </c>
      <c r="H303" s="13">
        <v>0</v>
      </c>
      <c r="I303" s="13">
        <v>1</v>
      </c>
      <c r="J303" s="13">
        <v>1</v>
      </c>
      <c r="K303" s="13">
        <v>0</v>
      </c>
    </row>
    <row r="304" spans="1:11" ht="56" customHeight="1" x14ac:dyDescent="0.15">
      <c r="A304" s="9">
        <v>2233</v>
      </c>
      <c r="B304" s="10" t="s">
        <v>839</v>
      </c>
      <c r="C304" s="11" t="s">
        <v>840</v>
      </c>
      <c r="D304" s="11" t="s">
        <v>841</v>
      </c>
      <c r="E304" s="13">
        <v>73</v>
      </c>
      <c r="F304" s="13">
        <v>110</v>
      </c>
      <c r="G304" s="7">
        <f t="shared" si="4"/>
        <v>0</v>
      </c>
      <c r="H304" s="13">
        <v>80</v>
      </c>
      <c r="I304" s="13">
        <v>4</v>
      </c>
      <c r="J304" s="13">
        <v>84</v>
      </c>
      <c r="K304" s="14">
        <v>5.3199999999999999E-6</v>
      </c>
    </row>
    <row r="305" spans="1:11" ht="68" customHeight="1" x14ac:dyDescent="0.15">
      <c r="A305" s="9">
        <v>4457</v>
      </c>
      <c r="B305" s="10" t="s">
        <v>842</v>
      </c>
      <c r="C305" s="11" t="s">
        <v>843</v>
      </c>
      <c r="D305" s="11" t="s">
        <v>844</v>
      </c>
      <c r="E305" s="12"/>
      <c r="F305" s="13">
        <v>105</v>
      </c>
      <c r="G305" s="7">
        <f t="shared" si="4"/>
        <v>0</v>
      </c>
      <c r="H305" s="13">
        <v>0</v>
      </c>
      <c r="I305" s="13">
        <v>1</v>
      </c>
      <c r="J305" s="13">
        <v>1</v>
      </c>
      <c r="K305" s="13">
        <v>0</v>
      </c>
    </row>
    <row r="306" spans="1:11" ht="68" customHeight="1" x14ac:dyDescent="0.15">
      <c r="A306" s="9">
        <v>2764</v>
      </c>
      <c r="B306" s="10" t="s">
        <v>845</v>
      </c>
      <c r="C306" s="11" t="s">
        <v>846</v>
      </c>
      <c r="D306" s="11" t="s">
        <v>847</v>
      </c>
      <c r="E306" s="13">
        <v>74</v>
      </c>
      <c r="F306" s="13">
        <v>53</v>
      </c>
      <c r="G306" s="7">
        <f t="shared" si="4"/>
        <v>0</v>
      </c>
      <c r="H306" s="13">
        <v>99</v>
      </c>
      <c r="I306" s="13">
        <v>4</v>
      </c>
      <c r="J306" s="13">
        <v>103</v>
      </c>
      <c r="K306" s="14">
        <v>6.2700000000000001E-6</v>
      </c>
    </row>
    <row r="307" spans="1:11" ht="68" customHeight="1" x14ac:dyDescent="0.15">
      <c r="A307" s="9">
        <v>7068</v>
      </c>
      <c r="B307" s="10" t="s">
        <v>848</v>
      </c>
      <c r="C307" s="11" t="s">
        <v>849</v>
      </c>
      <c r="D307" s="11" t="s">
        <v>850</v>
      </c>
      <c r="E307" s="12"/>
      <c r="F307" s="13">
        <v>325</v>
      </c>
      <c r="G307" s="7">
        <f t="shared" si="4"/>
        <v>0</v>
      </c>
      <c r="H307" s="13">
        <v>0</v>
      </c>
      <c r="I307" s="13">
        <v>1</v>
      </c>
      <c r="J307" s="13">
        <v>1</v>
      </c>
      <c r="K307" s="13">
        <v>0</v>
      </c>
    </row>
    <row r="308" spans="1:11" ht="116" customHeight="1" x14ac:dyDescent="0.15">
      <c r="A308" s="9">
        <v>3001</v>
      </c>
      <c r="B308" s="10" t="s">
        <v>851</v>
      </c>
      <c r="C308" s="11" t="s">
        <v>852</v>
      </c>
      <c r="D308" s="11" t="s">
        <v>853</v>
      </c>
      <c r="E308" s="12"/>
      <c r="F308" s="13">
        <v>36</v>
      </c>
      <c r="G308" s="7">
        <f t="shared" si="4"/>
        <v>0</v>
      </c>
      <c r="H308" s="13">
        <v>0</v>
      </c>
      <c r="I308" s="13">
        <v>1</v>
      </c>
      <c r="J308" s="13">
        <v>1</v>
      </c>
      <c r="K308" s="13">
        <v>0</v>
      </c>
    </row>
    <row r="309" spans="1:11" ht="68" customHeight="1" x14ac:dyDescent="0.15">
      <c r="A309" s="9">
        <v>1374</v>
      </c>
      <c r="B309" s="10" t="s">
        <v>854</v>
      </c>
      <c r="C309" s="11" t="s">
        <v>855</v>
      </c>
      <c r="D309" s="11" t="s">
        <v>856</v>
      </c>
      <c r="E309" s="12"/>
      <c r="F309" s="13">
        <v>54</v>
      </c>
      <c r="G309" s="7">
        <f t="shared" si="4"/>
        <v>0</v>
      </c>
      <c r="H309" s="13">
        <v>0</v>
      </c>
      <c r="I309" s="13">
        <v>1</v>
      </c>
      <c r="J309" s="13">
        <v>1</v>
      </c>
      <c r="K309" s="13">
        <v>0</v>
      </c>
    </row>
    <row r="310" spans="1:11" ht="116" customHeight="1" x14ac:dyDescent="0.15">
      <c r="A310" s="9">
        <v>7091</v>
      </c>
      <c r="B310" s="10" t="s">
        <v>857</v>
      </c>
      <c r="C310" s="11" t="s">
        <v>858</v>
      </c>
      <c r="D310" s="11" t="s">
        <v>859</v>
      </c>
      <c r="E310" s="12"/>
      <c r="F310" s="13">
        <v>92</v>
      </c>
      <c r="G310" s="7">
        <f t="shared" si="4"/>
        <v>0</v>
      </c>
      <c r="H310" s="13">
        <v>0</v>
      </c>
      <c r="I310" s="13">
        <v>1</v>
      </c>
      <c r="J310" s="13">
        <v>1</v>
      </c>
      <c r="K310" s="13">
        <v>0</v>
      </c>
    </row>
    <row r="311" spans="1:11" ht="56" customHeight="1" x14ac:dyDescent="0.15">
      <c r="A311" s="9">
        <v>3605</v>
      </c>
      <c r="B311" s="10" t="s">
        <v>860</v>
      </c>
      <c r="C311" s="11" t="s">
        <v>861</v>
      </c>
      <c r="D311" s="11" t="s">
        <v>862</v>
      </c>
      <c r="E311" s="12"/>
      <c r="F311" s="13">
        <v>3</v>
      </c>
      <c r="G311" s="7">
        <f t="shared" si="4"/>
        <v>0</v>
      </c>
      <c r="H311" s="13">
        <v>0</v>
      </c>
      <c r="I311" s="13">
        <v>1</v>
      </c>
      <c r="J311" s="13">
        <v>1</v>
      </c>
      <c r="K311" s="13">
        <v>0</v>
      </c>
    </row>
    <row r="312" spans="1:11" ht="80" customHeight="1" x14ac:dyDescent="0.15">
      <c r="A312" s="9">
        <v>5167</v>
      </c>
      <c r="B312" s="10" t="s">
        <v>863</v>
      </c>
      <c r="C312" s="11" t="s">
        <v>864</v>
      </c>
      <c r="D312" s="11" t="s">
        <v>865</v>
      </c>
      <c r="E312" s="13">
        <v>2800</v>
      </c>
      <c r="F312" s="13">
        <v>24500</v>
      </c>
      <c r="G312" s="7">
        <f t="shared" si="4"/>
        <v>0</v>
      </c>
      <c r="H312" s="13">
        <v>92</v>
      </c>
      <c r="I312" s="13">
        <v>5</v>
      </c>
      <c r="J312" s="13">
        <v>97</v>
      </c>
      <c r="K312" s="14">
        <v>6.2500000000000003E-6</v>
      </c>
    </row>
    <row r="313" spans="1:11" ht="44" customHeight="1" x14ac:dyDescent="0.15">
      <c r="A313" s="9">
        <v>4947</v>
      </c>
      <c r="B313" s="10" t="s">
        <v>866</v>
      </c>
      <c r="C313" s="11" t="s">
        <v>867</v>
      </c>
      <c r="D313" s="11" t="s">
        <v>868</v>
      </c>
      <c r="E313" s="12">
        <v>300</v>
      </c>
      <c r="F313" s="13">
        <v>300</v>
      </c>
      <c r="G313" s="7">
        <f t="shared" si="4"/>
        <v>1</v>
      </c>
      <c r="H313" s="13">
        <v>84</v>
      </c>
      <c r="I313" s="13">
        <v>13</v>
      </c>
      <c r="J313" s="13">
        <v>97</v>
      </c>
      <c r="K313" s="14">
        <v>8.49E-6</v>
      </c>
    </row>
    <row r="314" spans="1:11" ht="80" customHeight="1" x14ac:dyDescent="0.15">
      <c r="A314" s="9">
        <v>6025</v>
      </c>
      <c r="B314" s="10" t="s">
        <v>869</v>
      </c>
      <c r="C314" s="11" t="s">
        <v>870</v>
      </c>
      <c r="D314" s="11" t="s">
        <v>174</v>
      </c>
      <c r="E314" s="13">
        <v>7</v>
      </c>
      <c r="F314" s="13">
        <v>14</v>
      </c>
      <c r="G314" s="7">
        <f t="shared" si="4"/>
        <v>0</v>
      </c>
      <c r="H314" s="13">
        <v>90</v>
      </c>
      <c r="I314" s="13">
        <v>4</v>
      </c>
      <c r="J314" s="13">
        <v>94</v>
      </c>
      <c r="K314" s="14">
        <v>5.8200000000000002E-6</v>
      </c>
    </row>
    <row r="315" spans="1:11" ht="56" customHeight="1" x14ac:dyDescent="0.15">
      <c r="A315" s="9">
        <v>2338</v>
      </c>
      <c r="B315" s="10" t="s">
        <v>871</v>
      </c>
      <c r="C315" s="11" t="s">
        <v>872</v>
      </c>
      <c r="D315" s="11" t="s">
        <v>300</v>
      </c>
      <c r="E315" s="13">
        <v>25</v>
      </c>
      <c r="F315" s="13">
        <v>30</v>
      </c>
      <c r="G315" s="7">
        <f t="shared" si="4"/>
        <v>0</v>
      </c>
      <c r="H315" s="13">
        <v>63</v>
      </c>
      <c r="I315" s="13">
        <v>4</v>
      </c>
      <c r="J315" s="13">
        <v>67</v>
      </c>
      <c r="K315" s="14">
        <v>4.4700000000000004E-6</v>
      </c>
    </row>
    <row r="316" spans="1:11" ht="44" customHeight="1" x14ac:dyDescent="0.15">
      <c r="A316" s="9">
        <v>1871</v>
      </c>
      <c r="B316" s="10" t="s">
        <v>873</v>
      </c>
      <c r="C316" s="11" t="s">
        <v>874</v>
      </c>
      <c r="D316" s="11" t="s">
        <v>258</v>
      </c>
      <c r="E316" s="13">
        <v>60</v>
      </c>
      <c r="F316" s="13">
        <v>110</v>
      </c>
      <c r="G316" s="7">
        <f t="shared" si="4"/>
        <v>0</v>
      </c>
      <c r="H316" s="13">
        <v>86</v>
      </c>
      <c r="I316" s="13">
        <v>4</v>
      </c>
      <c r="J316" s="13">
        <v>90</v>
      </c>
      <c r="K316" s="15">
        <v>5.7173999999999997E-6</v>
      </c>
    </row>
    <row r="317" spans="1:11" ht="56" customHeight="1" x14ac:dyDescent="0.15">
      <c r="A317" s="9">
        <v>4129</v>
      </c>
      <c r="B317" s="10" t="s">
        <v>875</v>
      </c>
      <c r="C317" s="11" t="s">
        <v>876</v>
      </c>
      <c r="D317" s="11" t="s">
        <v>877</v>
      </c>
      <c r="E317" s="12"/>
      <c r="F317" s="13">
        <v>92</v>
      </c>
      <c r="G317" s="7">
        <f t="shared" si="4"/>
        <v>0</v>
      </c>
      <c r="H317" s="13">
        <v>0</v>
      </c>
      <c r="I317" s="13">
        <v>1</v>
      </c>
      <c r="J317" s="13">
        <v>1</v>
      </c>
      <c r="K317" s="13">
        <v>0</v>
      </c>
    </row>
    <row r="318" spans="1:11" ht="44" customHeight="1" x14ac:dyDescent="0.15">
      <c r="A318" s="9">
        <v>763</v>
      </c>
      <c r="B318" s="10" t="s">
        <v>878</v>
      </c>
      <c r="C318" s="11" t="s">
        <v>879</v>
      </c>
      <c r="D318" s="11" t="s">
        <v>880</v>
      </c>
      <c r="E318" s="12"/>
      <c r="F318" s="13">
        <v>6</v>
      </c>
      <c r="G318" s="7">
        <f t="shared" si="4"/>
        <v>0</v>
      </c>
      <c r="H318" s="13">
        <v>0</v>
      </c>
      <c r="I318" s="13">
        <v>1</v>
      </c>
      <c r="J318" s="13">
        <v>1</v>
      </c>
      <c r="K318" s="13">
        <v>0</v>
      </c>
    </row>
    <row r="319" spans="1:11" ht="68" customHeight="1" x14ac:dyDescent="0.15">
      <c r="A319" s="9">
        <v>1665</v>
      </c>
      <c r="B319" s="10" t="s">
        <v>881</v>
      </c>
      <c r="C319" s="11" t="s">
        <v>882</v>
      </c>
      <c r="D319" s="11" t="s">
        <v>883</v>
      </c>
      <c r="E319" s="12"/>
      <c r="F319" s="13">
        <v>32</v>
      </c>
      <c r="G319" s="7">
        <f t="shared" si="4"/>
        <v>0</v>
      </c>
      <c r="H319" s="13">
        <v>0</v>
      </c>
      <c r="I319" s="13">
        <v>1</v>
      </c>
      <c r="J319" s="13">
        <v>1</v>
      </c>
      <c r="K319" s="13">
        <v>0</v>
      </c>
    </row>
    <row r="320" spans="1:11" ht="68" customHeight="1" x14ac:dyDescent="0.15">
      <c r="A320" s="9">
        <v>1425</v>
      </c>
      <c r="B320" s="10" t="s">
        <v>884</v>
      </c>
      <c r="C320" s="11" t="s">
        <v>885</v>
      </c>
      <c r="D320" s="11" t="s">
        <v>405</v>
      </c>
      <c r="E320" s="13">
        <v>40</v>
      </c>
      <c r="F320" s="13">
        <v>10</v>
      </c>
      <c r="G320" s="7">
        <f t="shared" si="4"/>
        <v>0</v>
      </c>
      <c r="H320" s="13">
        <v>85</v>
      </c>
      <c r="I320" s="13">
        <v>4</v>
      </c>
      <c r="J320" s="13">
        <v>89</v>
      </c>
      <c r="K320" s="14">
        <v>5.57E-6</v>
      </c>
    </row>
    <row r="321" spans="1:11" ht="44" customHeight="1" x14ac:dyDescent="0.15">
      <c r="A321" s="9">
        <v>6868</v>
      </c>
      <c r="B321" s="10" t="s">
        <v>886</v>
      </c>
      <c r="C321" s="11" t="s">
        <v>887</v>
      </c>
      <c r="D321" s="11" t="s">
        <v>174</v>
      </c>
      <c r="E321" s="13">
        <v>7</v>
      </c>
      <c r="F321" s="13">
        <v>14</v>
      </c>
      <c r="G321" s="7">
        <f t="shared" si="4"/>
        <v>0</v>
      </c>
      <c r="H321" s="13">
        <v>61</v>
      </c>
      <c r="I321" s="13">
        <v>4</v>
      </c>
      <c r="J321" s="13">
        <v>65</v>
      </c>
      <c r="K321" s="14">
        <v>4.3699999999999997E-6</v>
      </c>
    </row>
    <row r="322" spans="1:11" ht="80" customHeight="1" x14ac:dyDescent="0.15">
      <c r="A322" s="9">
        <v>4359</v>
      </c>
      <c r="B322" s="10" t="s">
        <v>888</v>
      </c>
      <c r="C322" s="11" t="s">
        <v>889</v>
      </c>
      <c r="D322" s="11" t="s">
        <v>890</v>
      </c>
      <c r="E322" s="12"/>
      <c r="F322" s="13">
        <v>10</v>
      </c>
      <c r="G322" s="7">
        <f t="shared" si="4"/>
        <v>0</v>
      </c>
      <c r="H322" s="13">
        <v>0</v>
      </c>
      <c r="I322" s="13">
        <v>1</v>
      </c>
      <c r="J322" s="13">
        <v>1</v>
      </c>
      <c r="K322" s="13">
        <v>0</v>
      </c>
    </row>
    <row r="323" spans="1:11" ht="44" customHeight="1" x14ac:dyDescent="0.15">
      <c r="A323" s="9">
        <v>509</v>
      </c>
      <c r="B323" s="10" t="s">
        <v>891</v>
      </c>
      <c r="C323" s="11" t="s">
        <v>892</v>
      </c>
      <c r="D323" s="11" t="s">
        <v>81</v>
      </c>
      <c r="E323" s="13">
        <v>6</v>
      </c>
      <c r="F323" s="13">
        <v>6</v>
      </c>
      <c r="G323" s="7">
        <f t="shared" si="4"/>
        <v>1</v>
      </c>
      <c r="H323" s="13">
        <v>90</v>
      </c>
      <c r="I323" s="13">
        <v>4</v>
      </c>
      <c r="J323" s="13">
        <v>94</v>
      </c>
      <c r="K323" s="14">
        <v>5.8200000000000002E-6</v>
      </c>
    </row>
    <row r="324" spans="1:11" ht="68" customHeight="1" x14ac:dyDescent="0.15">
      <c r="A324" s="9">
        <v>2835</v>
      </c>
      <c r="B324" s="10" t="s">
        <v>893</v>
      </c>
      <c r="C324" s="11" t="s">
        <v>894</v>
      </c>
      <c r="D324" s="11" t="s">
        <v>895</v>
      </c>
      <c r="E324" s="12"/>
      <c r="F324" s="13">
        <v>1400</v>
      </c>
      <c r="G324" s="7">
        <f t="shared" ref="G324:G387" si="5">IF(OR(ISBLANK(E324), ISBLANK(F324)), 0, IF(E324=F324, 1, 0))</f>
        <v>0</v>
      </c>
      <c r="H324" s="13">
        <v>0</v>
      </c>
      <c r="I324" s="13">
        <v>1</v>
      </c>
      <c r="J324" s="13">
        <v>1</v>
      </c>
      <c r="K324" s="13">
        <v>0</v>
      </c>
    </row>
    <row r="325" spans="1:11" ht="68" customHeight="1" x14ac:dyDescent="0.15">
      <c r="A325" s="9">
        <v>6033</v>
      </c>
      <c r="B325" s="10" t="s">
        <v>896</v>
      </c>
      <c r="C325" s="11" t="s">
        <v>897</v>
      </c>
      <c r="D325" s="11" t="s">
        <v>898</v>
      </c>
      <c r="E325" s="12"/>
      <c r="F325" s="13">
        <v>25</v>
      </c>
      <c r="G325" s="7">
        <f t="shared" si="5"/>
        <v>0</v>
      </c>
      <c r="H325" s="13">
        <v>84</v>
      </c>
      <c r="I325" s="13">
        <v>6</v>
      </c>
      <c r="J325" s="13">
        <v>90</v>
      </c>
      <c r="K325" s="14">
        <v>6.1800000000000001E-6</v>
      </c>
    </row>
    <row r="326" spans="1:11" ht="44" customHeight="1" x14ac:dyDescent="0.15">
      <c r="A326" s="9">
        <v>5488</v>
      </c>
      <c r="B326" s="10" t="s">
        <v>899</v>
      </c>
      <c r="C326" s="11" t="s">
        <v>900</v>
      </c>
      <c r="D326" s="11" t="s">
        <v>901</v>
      </c>
      <c r="E326" s="12">
        <v>655502</v>
      </c>
      <c r="F326" s="13">
        <v>655502</v>
      </c>
      <c r="G326" s="7">
        <f t="shared" si="5"/>
        <v>1</v>
      </c>
      <c r="H326" s="13">
        <v>69</v>
      </c>
      <c r="I326" s="13">
        <v>16</v>
      </c>
      <c r="J326" s="13">
        <v>85</v>
      </c>
      <c r="K326" s="14">
        <v>8.7299999999999994E-6</v>
      </c>
    </row>
    <row r="327" spans="1:11" ht="44" customHeight="1" x14ac:dyDescent="0.15">
      <c r="A327" s="9">
        <v>69</v>
      </c>
      <c r="B327" s="10" t="s">
        <v>902</v>
      </c>
      <c r="C327" s="11" t="s">
        <v>903</v>
      </c>
      <c r="D327" s="11" t="s">
        <v>904</v>
      </c>
      <c r="E327" s="13">
        <v>37</v>
      </c>
      <c r="F327" s="13">
        <v>49</v>
      </c>
      <c r="G327" s="7">
        <f t="shared" si="5"/>
        <v>0</v>
      </c>
      <c r="H327" s="13">
        <v>65</v>
      </c>
      <c r="I327" s="13">
        <v>4</v>
      </c>
      <c r="J327" s="13">
        <v>69</v>
      </c>
      <c r="K327" s="14">
        <v>4.5700000000000003E-6</v>
      </c>
    </row>
    <row r="328" spans="1:11" ht="56" customHeight="1" x14ac:dyDescent="0.15">
      <c r="A328" s="9">
        <v>6492</v>
      </c>
      <c r="B328" s="10" t="s">
        <v>905</v>
      </c>
      <c r="C328" s="11" t="s">
        <v>906</v>
      </c>
      <c r="D328" s="11" t="s">
        <v>303</v>
      </c>
      <c r="E328" s="13">
        <v>45</v>
      </c>
      <c r="F328" s="13">
        <v>100</v>
      </c>
      <c r="G328" s="7">
        <f t="shared" si="5"/>
        <v>0</v>
      </c>
      <c r="H328" s="13">
        <v>58</v>
      </c>
      <c r="I328" s="13">
        <v>4</v>
      </c>
      <c r="J328" s="13">
        <v>62</v>
      </c>
      <c r="K328" s="14">
        <v>4.2200000000000003E-6</v>
      </c>
    </row>
    <row r="329" spans="1:11" ht="68" customHeight="1" x14ac:dyDescent="0.15">
      <c r="A329" s="9">
        <v>5397</v>
      </c>
      <c r="B329" s="10" t="s">
        <v>907</v>
      </c>
      <c r="C329" s="11" t="s">
        <v>908</v>
      </c>
      <c r="D329" s="11" t="s">
        <v>489</v>
      </c>
      <c r="E329" s="13">
        <v>75</v>
      </c>
      <c r="F329" s="13">
        <v>79</v>
      </c>
      <c r="G329" s="7">
        <f t="shared" si="5"/>
        <v>0</v>
      </c>
      <c r="H329" s="13">
        <v>103</v>
      </c>
      <c r="I329" s="13">
        <v>4</v>
      </c>
      <c r="J329" s="13">
        <v>107</v>
      </c>
      <c r="K329" s="14">
        <v>6.4699999999999999E-6</v>
      </c>
    </row>
    <row r="330" spans="1:11" ht="80" customHeight="1" x14ac:dyDescent="0.15">
      <c r="A330" s="9">
        <v>7286</v>
      </c>
      <c r="B330" s="10" t="s">
        <v>909</v>
      </c>
      <c r="C330" s="11" t="s">
        <v>910</v>
      </c>
      <c r="D330" s="11" t="s">
        <v>290</v>
      </c>
      <c r="E330" s="13">
        <v>24</v>
      </c>
      <c r="F330" s="13">
        <v>50</v>
      </c>
      <c r="G330" s="7">
        <f t="shared" si="5"/>
        <v>0</v>
      </c>
      <c r="H330" s="13">
        <v>92</v>
      </c>
      <c r="I330" s="13">
        <v>4</v>
      </c>
      <c r="J330" s="13">
        <v>96</v>
      </c>
      <c r="K330" s="14">
        <v>5.9200000000000001E-6</v>
      </c>
    </row>
    <row r="331" spans="1:11" ht="92" customHeight="1" x14ac:dyDescent="0.15">
      <c r="A331" s="9">
        <v>2576</v>
      </c>
      <c r="B331" s="10" t="s">
        <v>911</v>
      </c>
      <c r="C331" s="11" t="s">
        <v>912</v>
      </c>
      <c r="D331" s="11" t="s">
        <v>40</v>
      </c>
      <c r="E331" s="12"/>
      <c r="F331" s="13">
        <v>14</v>
      </c>
      <c r="G331" s="7">
        <f t="shared" si="5"/>
        <v>0</v>
      </c>
      <c r="H331" s="13">
        <v>129</v>
      </c>
      <c r="I331" s="13">
        <v>2</v>
      </c>
      <c r="J331" s="13">
        <v>131</v>
      </c>
      <c r="K331" s="14">
        <v>7.1099999999999997E-6</v>
      </c>
    </row>
    <row r="332" spans="1:11" ht="44" customHeight="1" x14ac:dyDescent="0.15">
      <c r="A332" s="9">
        <v>332</v>
      </c>
      <c r="B332" s="10" t="s">
        <v>913</v>
      </c>
      <c r="C332" s="11" t="s">
        <v>914</v>
      </c>
      <c r="D332" s="11" t="s">
        <v>915</v>
      </c>
      <c r="E332" s="12"/>
      <c r="F332" s="13">
        <v>49200</v>
      </c>
      <c r="G332" s="7">
        <f t="shared" si="5"/>
        <v>0</v>
      </c>
      <c r="H332" s="13">
        <v>70</v>
      </c>
      <c r="I332" s="13">
        <v>19</v>
      </c>
      <c r="J332" s="13">
        <v>89</v>
      </c>
      <c r="K332" s="14">
        <v>9.7699999999999996E-6</v>
      </c>
    </row>
    <row r="333" spans="1:11" ht="68" customHeight="1" x14ac:dyDescent="0.15">
      <c r="A333" s="9">
        <v>7025</v>
      </c>
      <c r="B333" s="10" t="s">
        <v>916</v>
      </c>
      <c r="C333" s="11" t="s">
        <v>917</v>
      </c>
      <c r="D333" s="11" t="s">
        <v>918</v>
      </c>
      <c r="E333" s="13">
        <v>1055</v>
      </c>
      <c r="F333" s="13">
        <v>525</v>
      </c>
      <c r="G333" s="7">
        <f t="shared" si="5"/>
        <v>0</v>
      </c>
      <c r="H333" s="13">
        <v>115</v>
      </c>
      <c r="I333" s="13">
        <v>5</v>
      </c>
      <c r="J333" s="13">
        <v>120</v>
      </c>
      <c r="K333" s="18">
        <v>7.4000000000000003E-6</v>
      </c>
    </row>
    <row r="334" spans="1:11" ht="56" customHeight="1" x14ac:dyDescent="0.15">
      <c r="A334" s="9">
        <v>2328</v>
      </c>
      <c r="B334" s="10" t="s">
        <v>919</v>
      </c>
      <c r="C334" s="11" t="s">
        <v>920</v>
      </c>
      <c r="D334" s="11" t="s">
        <v>921</v>
      </c>
      <c r="E334" s="12"/>
      <c r="F334" s="13">
        <v>204</v>
      </c>
      <c r="G334" s="7">
        <f t="shared" si="5"/>
        <v>0</v>
      </c>
      <c r="H334" s="13">
        <v>0</v>
      </c>
      <c r="I334" s="13">
        <v>1</v>
      </c>
      <c r="J334" s="13">
        <v>1</v>
      </c>
      <c r="K334" s="13">
        <v>0</v>
      </c>
    </row>
    <row r="335" spans="1:11" ht="56" customHeight="1" x14ac:dyDescent="0.15">
      <c r="A335" s="9">
        <v>3978</v>
      </c>
      <c r="B335" s="10" t="s">
        <v>922</v>
      </c>
      <c r="C335" s="11" t="s">
        <v>923</v>
      </c>
      <c r="D335" s="11" t="s">
        <v>924</v>
      </c>
      <c r="E335" s="12"/>
      <c r="F335" s="13">
        <v>7</v>
      </c>
      <c r="G335" s="7">
        <f t="shared" si="5"/>
        <v>0</v>
      </c>
      <c r="H335" s="13">
        <v>0</v>
      </c>
      <c r="I335" s="13">
        <v>1</v>
      </c>
      <c r="J335" s="13">
        <v>1</v>
      </c>
      <c r="K335" s="13">
        <v>0</v>
      </c>
    </row>
    <row r="336" spans="1:11" ht="68" customHeight="1" x14ac:dyDescent="0.15">
      <c r="A336" s="9">
        <v>393</v>
      </c>
      <c r="B336" s="10" t="s">
        <v>925</v>
      </c>
      <c r="C336" s="11" t="s">
        <v>926</v>
      </c>
      <c r="D336" s="11" t="s">
        <v>927</v>
      </c>
      <c r="E336" s="12"/>
      <c r="F336" s="13">
        <v>5</v>
      </c>
      <c r="G336" s="7">
        <f t="shared" si="5"/>
        <v>0</v>
      </c>
      <c r="H336" s="13">
        <v>0</v>
      </c>
      <c r="I336" s="13">
        <v>1</v>
      </c>
      <c r="J336" s="13">
        <v>1</v>
      </c>
      <c r="K336" s="13">
        <v>0</v>
      </c>
    </row>
    <row r="337" spans="1:11" ht="80" customHeight="1" x14ac:dyDescent="0.15">
      <c r="A337" s="9">
        <v>3244</v>
      </c>
      <c r="B337" s="10" t="s">
        <v>928</v>
      </c>
      <c r="C337" s="11" t="s">
        <v>929</v>
      </c>
      <c r="D337" s="11" t="s">
        <v>113</v>
      </c>
      <c r="E337" s="13">
        <v>180</v>
      </c>
      <c r="F337" s="13">
        <v>125</v>
      </c>
      <c r="G337" s="7">
        <f t="shared" si="5"/>
        <v>0</v>
      </c>
      <c r="H337" s="13">
        <v>131</v>
      </c>
      <c r="I337" s="13">
        <v>4</v>
      </c>
      <c r="J337" s="13">
        <v>135</v>
      </c>
      <c r="K337" s="15">
        <v>8.0079E-6</v>
      </c>
    </row>
    <row r="338" spans="1:11" ht="68" customHeight="1" x14ac:dyDescent="0.15">
      <c r="A338" s="9">
        <v>408</v>
      </c>
      <c r="B338" s="10" t="s">
        <v>930</v>
      </c>
      <c r="C338" s="11" t="s">
        <v>931</v>
      </c>
      <c r="D338" s="11" t="s">
        <v>196</v>
      </c>
      <c r="E338" s="13">
        <v>16</v>
      </c>
      <c r="F338" s="13">
        <v>52</v>
      </c>
      <c r="G338" s="7">
        <f t="shared" si="5"/>
        <v>0</v>
      </c>
      <c r="H338" s="13">
        <v>93</v>
      </c>
      <c r="I338" s="13">
        <v>4</v>
      </c>
      <c r="J338" s="13">
        <v>97</v>
      </c>
      <c r="K338" s="14">
        <v>5.9699999999999996E-6</v>
      </c>
    </row>
    <row r="339" spans="1:11" ht="44" customHeight="1" x14ac:dyDescent="0.15">
      <c r="A339" s="9">
        <v>6369</v>
      </c>
      <c r="B339" s="10" t="s">
        <v>932</v>
      </c>
      <c r="C339" s="11" t="s">
        <v>933</v>
      </c>
      <c r="D339" s="11" t="s">
        <v>934</v>
      </c>
      <c r="E339" s="12"/>
      <c r="F339" s="13">
        <v>25</v>
      </c>
      <c r="G339" s="7">
        <f t="shared" si="5"/>
        <v>0</v>
      </c>
      <c r="H339" s="13">
        <v>0</v>
      </c>
      <c r="I339" s="13">
        <v>1</v>
      </c>
      <c r="J339" s="13">
        <v>1</v>
      </c>
      <c r="K339" s="13">
        <v>0</v>
      </c>
    </row>
    <row r="340" spans="1:11" ht="56" customHeight="1" x14ac:dyDescent="0.15">
      <c r="A340" s="9">
        <v>5577</v>
      </c>
      <c r="B340" s="10" t="s">
        <v>935</v>
      </c>
      <c r="C340" s="11" t="s">
        <v>936</v>
      </c>
      <c r="D340" s="11" t="s">
        <v>937</v>
      </c>
      <c r="E340" s="12"/>
      <c r="F340" s="13">
        <v>1050</v>
      </c>
      <c r="G340" s="7">
        <f t="shared" si="5"/>
        <v>0</v>
      </c>
      <c r="H340" s="13">
        <v>0</v>
      </c>
      <c r="I340" s="13">
        <v>1</v>
      </c>
      <c r="J340" s="13">
        <v>1</v>
      </c>
      <c r="K340" s="13">
        <v>0</v>
      </c>
    </row>
    <row r="341" spans="1:11" ht="128" customHeight="1" x14ac:dyDescent="0.15">
      <c r="A341" s="9">
        <v>743</v>
      </c>
      <c r="B341" s="10" t="s">
        <v>938</v>
      </c>
      <c r="C341" s="11" t="s">
        <v>939</v>
      </c>
      <c r="D341" s="11" t="s">
        <v>940</v>
      </c>
      <c r="E341" s="12"/>
      <c r="F341" s="13">
        <v>106000</v>
      </c>
      <c r="G341" s="7">
        <f t="shared" si="5"/>
        <v>0</v>
      </c>
      <c r="H341" s="13">
        <v>0</v>
      </c>
      <c r="I341" s="13">
        <v>1</v>
      </c>
      <c r="J341" s="13">
        <v>1</v>
      </c>
      <c r="K341" s="13">
        <v>0</v>
      </c>
    </row>
    <row r="342" spans="1:11" ht="68" customHeight="1" x14ac:dyDescent="0.15">
      <c r="A342" s="9">
        <v>1075</v>
      </c>
      <c r="B342" s="10" t="s">
        <v>941</v>
      </c>
      <c r="C342" s="11" t="s">
        <v>942</v>
      </c>
      <c r="D342" s="11" t="s">
        <v>943</v>
      </c>
      <c r="E342" s="12"/>
      <c r="F342" s="13">
        <v>195</v>
      </c>
      <c r="G342" s="7">
        <f t="shared" si="5"/>
        <v>0</v>
      </c>
      <c r="H342" s="13">
        <v>0</v>
      </c>
      <c r="I342" s="13">
        <v>1</v>
      </c>
      <c r="J342" s="13">
        <v>1</v>
      </c>
      <c r="K342" s="13">
        <v>0</v>
      </c>
    </row>
    <row r="343" spans="1:11" ht="56" customHeight="1" x14ac:dyDescent="0.15">
      <c r="A343" s="9">
        <v>1056</v>
      </c>
      <c r="B343" s="10" t="s">
        <v>944</v>
      </c>
      <c r="C343" s="11" t="s">
        <v>945</v>
      </c>
      <c r="D343" s="11" t="s">
        <v>19</v>
      </c>
      <c r="E343" s="13">
        <v>12</v>
      </c>
      <c r="F343" s="13">
        <v>8</v>
      </c>
      <c r="G343" s="7">
        <f t="shared" si="5"/>
        <v>0</v>
      </c>
      <c r="H343" s="13">
        <v>88</v>
      </c>
      <c r="I343" s="13">
        <v>4</v>
      </c>
      <c r="J343" s="13">
        <v>92</v>
      </c>
      <c r="K343" s="14">
        <v>5.7200000000000003E-6</v>
      </c>
    </row>
    <row r="344" spans="1:11" ht="44" customHeight="1" x14ac:dyDescent="0.15">
      <c r="A344" s="9">
        <v>6744</v>
      </c>
      <c r="B344" s="10" t="s">
        <v>946</v>
      </c>
      <c r="C344" s="11" t="s">
        <v>947</v>
      </c>
      <c r="D344" s="11" t="s">
        <v>948</v>
      </c>
      <c r="E344" s="13">
        <v>320</v>
      </c>
      <c r="F344" s="13">
        <v>250</v>
      </c>
      <c r="G344" s="7">
        <f t="shared" si="5"/>
        <v>0</v>
      </c>
      <c r="H344" s="13">
        <v>100</v>
      </c>
      <c r="I344" s="13">
        <v>4</v>
      </c>
      <c r="J344" s="13">
        <v>104</v>
      </c>
      <c r="K344" s="14">
        <v>6.3199999999999996E-6</v>
      </c>
    </row>
    <row r="345" spans="1:11" ht="80" customHeight="1" x14ac:dyDescent="0.15">
      <c r="A345" s="9">
        <v>7250</v>
      </c>
      <c r="B345" s="10" t="s">
        <v>949</v>
      </c>
      <c r="C345" s="11" t="s">
        <v>950</v>
      </c>
      <c r="D345" s="11" t="s">
        <v>951</v>
      </c>
      <c r="E345" s="12"/>
      <c r="F345" s="13">
        <v>48</v>
      </c>
      <c r="G345" s="7">
        <f t="shared" si="5"/>
        <v>0</v>
      </c>
      <c r="H345" s="13">
        <v>0</v>
      </c>
      <c r="I345" s="13">
        <v>1</v>
      </c>
      <c r="J345" s="13">
        <v>1</v>
      </c>
      <c r="K345" s="13">
        <v>0</v>
      </c>
    </row>
    <row r="346" spans="1:11" ht="68" customHeight="1" x14ac:dyDescent="0.15">
      <c r="A346" s="9">
        <v>2648</v>
      </c>
      <c r="B346" s="10" t="s">
        <v>952</v>
      </c>
      <c r="C346" s="11" t="s">
        <v>953</v>
      </c>
      <c r="D346" s="11" t="s">
        <v>954</v>
      </c>
      <c r="E346" s="12"/>
      <c r="F346" s="13">
        <v>9</v>
      </c>
      <c r="G346" s="7">
        <f t="shared" si="5"/>
        <v>0</v>
      </c>
      <c r="H346" s="13">
        <v>0</v>
      </c>
      <c r="I346" s="13">
        <v>1</v>
      </c>
      <c r="J346" s="13">
        <v>1</v>
      </c>
      <c r="K346" s="13">
        <v>0</v>
      </c>
    </row>
    <row r="347" spans="1:11" ht="68" customHeight="1" x14ac:dyDescent="0.15">
      <c r="A347" s="9">
        <v>6643</v>
      </c>
      <c r="B347" s="10" t="s">
        <v>955</v>
      </c>
      <c r="C347" s="11" t="s">
        <v>956</v>
      </c>
      <c r="D347" s="11" t="s">
        <v>258</v>
      </c>
      <c r="E347" s="13">
        <v>60</v>
      </c>
      <c r="F347" s="13">
        <v>74</v>
      </c>
      <c r="G347" s="7">
        <f t="shared" si="5"/>
        <v>0</v>
      </c>
      <c r="H347" s="13">
        <v>105</v>
      </c>
      <c r="I347" s="13">
        <v>4</v>
      </c>
      <c r="J347" s="13">
        <v>109</v>
      </c>
      <c r="K347" s="14">
        <v>6.5699999999999998E-6</v>
      </c>
    </row>
    <row r="348" spans="1:11" ht="68" customHeight="1" x14ac:dyDescent="0.15">
      <c r="A348" s="9">
        <v>19</v>
      </c>
      <c r="B348" s="10" t="s">
        <v>957</v>
      </c>
      <c r="C348" s="11" t="s">
        <v>958</v>
      </c>
      <c r="D348" s="11" t="s">
        <v>959</v>
      </c>
      <c r="E348" s="12"/>
      <c r="F348" s="13">
        <v>16</v>
      </c>
      <c r="G348" s="7">
        <f t="shared" si="5"/>
        <v>0</v>
      </c>
      <c r="H348" s="13">
        <v>91</v>
      </c>
      <c r="I348" s="13">
        <v>6</v>
      </c>
      <c r="J348" s="13">
        <v>97</v>
      </c>
      <c r="K348" s="14">
        <v>6.5300000000000002E-6</v>
      </c>
    </row>
    <row r="349" spans="1:11" ht="44" customHeight="1" x14ac:dyDescent="0.15">
      <c r="A349" s="9">
        <v>6187</v>
      </c>
      <c r="B349" s="10" t="s">
        <v>960</v>
      </c>
      <c r="C349" s="11" t="s">
        <v>961</v>
      </c>
      <c r="D349" s="11" t="s">
        <v>208</v>
      </c>
      <c r="E349" s="12"/>
      <c r="F349" s="13">
        <v>8900</v>
      </c>
      <c r="G349" s="7">
        <f t="shared" si="5"/>
        <v>0</v>
      </c>
      <c r="H349" s="13">
        <v>0</v>
      </c>
      <c r="I349" s="13">
        <v>1</v>
      </c>
      <c r="J349" s="13">
        <v>1</v>
      </c>
      <c r="K349" s="13">
        <v>0</v>
      </c>
    </row>
    <row r="350" spans="1:11" ht="80" customHeight="1" x14ac:dyDescent="0.15">
      <c r="A350" s="9">
        <v>908</v>
      </c>
      <c r="B350" s="10" t="s">
        <v>962</v>
      </c>
      <c r="C350" s="11" t="s">
        <v>963</v>
      </c>
      <c r="D350" s="11" t="s">
        <v>964</v>
      </c>
      <c r="E350" s="12"/>
      <c r="F350" s="13">
        <v>144000</v>
      </c>
      <c r="G350" s="7">
        <f t="shared" si="5"/>
        <v>0</v>
      </c>
      <c r="H350" s="13">
        <v>0</v>
      </c>
      <c r="I350" s="13">
        <v>1</v>
      </c>
      <c r="J350" s="13">
        <v>1</v>
      </c>
      <c r="K350" s="13">
        <v>0</v>
      </c>
    </row>
    <row r="351" spans="1:11" ht="92" customHeight="1" x14ac:dyDescent="0.15">
      <c r="A351" s="9">
        <v>5635</v>
      </c>
      <c r="B351" s="10" t="s">
        <v>965</v>
      </c>
      <c r="C351" s="11" t="s">
        <v>966</v>
      </c>
      <c r="D351" s="11" t="s">
        <v>967</v>
      </c>
      <c r="E351" s="12"/>
      <c r="F351" s="13">
        <v>20</v>
      </c>
      <c r="G351" s="7">
        <f t="shared" si="5"/>
        <v>0</v>
      </c>
      <c r="H351" s="13">
        <v>0</v>
      </c>
      <c r="I351" s="13">
        <v>1</v>
      </c>
      <c r="J351" s="13">
        <v>1</v>
      </c>
      <c r="K351" s="13">
        <v>0</v>
      </c>
    </row>
    <row r="352" spans="1:11" ht="44" customHeight="1" x14ac:dyDescent="0.15">
      <c r="A352" s="9">
        <v>6583</v>
      </c>
      <c r="B352" s="10" t="s">
        <v>968</v>
      </c>
      <c r="C352" s="11" t="s">
        <v>969</v>
      </c>
      <c r="D352" s="11" t="s">
        <v>970</v>
      </c>
      <c r="E352" s="13">
        <v>2200</v>
      </c>
      <c r="F352" s="13">
        <v>2750</v>
      </c>
      <c r="G352" s="7">
        <f t="shared" si="5"/>
        <v>0</v>
      </c>
      <c r="H352" s="13">
        <v>62</v>
      </c>
      <c r="I352" s="13">
        <v>5</v>
      </c>
      <c r="J352" s="13">
        <v>67</v>
      </c>
      <c r="K352" s="14">
        <v>4.7500000000000003E-6</v>
      </c>
    </row>
    <row r="353" spans="1:11" ht="68" customHeight="1" x14ac:dyDescent="0.15">
      <c r="A353" s="9">
        <v>835</v>
      </c>
      <c r="B353" s="10" t="s">
        <v>971</v>
      </c>
      <c r="C353" s="11" t="s">
        <v>972</v>
      </c>
      <c r="D353" s="11" t="s">
        <v>973</v>
      </c>
      <c r="E353" s="12"/>
      <c r="F353" s="13">
        <v>300</v>
      </c>
      <c r="G353" s="7">
        <f t="shared" si="5"/>
        <v>0</v>
      </c>
      <c r="H353" s="13">
        <v>0</v>
      </c>
      <c r="I353" s="13">
        <v>1</v>
      </c>
      <c r="J353" s="13">
        <v>1</v>
      </c>
      <c r="K353" s="13">
        <v>0</v>
      </c>
    </row>
    <row r="354" spans="1:11" ht="104" customHeight="1" x14ac:dyDescent="0.15">
      <c r="A354" s="9">
        <v>3182</v>
      </c>
      <c r="B354" s="10" t="s">
        <v>974</v>
      </c>
      <c r="C354" s="11" t="s">
        <v>975</v>
      </c>
      <c r="D354" s="11" t="s">
        <v>976</v>
      </c>
      <c r="E354" s="12"/>
      <c r="F354" s="13">
        <v>960</v>
      </c>
      <c r="G354" s="7">
        <f t="shared" si="5"/>
        <v>0</v>
      </c>
      <c r="H354" s="13">
        <v>0</v>
      </c>
      <c r="I354" s="13">
        <v>1</v>
      </c>
      <c r="J354" s="13">
        <v>1</v>
      </c>
      <c r="K354" s="13">
        <v>0</v>
      </c>
    </row>
    <row r="355" spans="1:11" ht="104" customHeight="1" x14ac:dyDescent="0.15">
      <c r="A355" s="9">
        <v>239</v>
      </c>
      <c r="B355" s="10" t="s">
        <v>977</v>
      </c>
      <c r="C355" s="11" t="s">
        <v>978</v>
      </c>
      <c r="D355" s="11" t="s">
        <v>979</v>
      </c>
      <c r="E355" s="12"/>
      <c r="F355" s="13">
        <v>3</v>
      </c>
      <c r="G355" s="7">
        <f t="shared" si="5"/>
        <v>0</v>
      </c>
      <c r="H355" s="13">
        <v>0</v>
      </c>
      <c r="I355" s="13">
        <v>1</v>
      </c>
      <c r="J355" s="13">
        <v>1</v>
      </c>
      <c r="K355" s="13">
        <v>0</v>
      </c>
    </row>
    <row r="356" spans="1:11" ht="44" customHeight="1" x14ac:dyDescent="0.15">
      <c r="A356" s="9">
        <v>2304</v>
      </c>
      <c r="B356" s="10" t="s">
        <v>980</v>
      </c>
      <c r="C356" s="11" t="s">
        <v>981</v>
      </c>
      <c r="D356" s="11" t="s">
        <v>982</v>
      </c>
      <c r="E356" s="12"/>
      <c r="F356" s="13">
        <v>97</v>
      </c>
      <c r="G356" s="7">
        <f t="shared" si="5"/>
        <v>0</v>
      </c>
      <c r="H356" s="13">
        <v>82</v>
      </c>
      <c r="I356" s="13">
        <v>4</v>
      </c>
      <c r="J356" s="13">
        <v>86</v>
      </c>
      <c r="K356" s="15">
        <v>5.5137999999999996E-6</v>
      </c>
    </row>
    <row r="357" spans="1:11" ht="68" customHeight="1" x14ac:dyDescent="0.15">
      <c r="A357" s="9">
        <v>1429</v>
      </c>
      <c r="B357" s="10" t="s">
        <v>983</v>
      </c>
      <c r="C357" s="11" t="s">
        <v>984</v>
      </c>
      <c r="D357" s="11" t="s">
        <v>985</v>
      </c>
      <c r="E357" s="13">
        <v>3500</v>
      </c>
      <c r="F357" s="13">
        <v>20</v>
      </c>
      <c r="G357" s="7">
        <f t="shared" si="5"/>
        <v>0</v>
      </c>
      <c r="H357" s="13">
        <v>93</v>
      </c>
      <c r="I357" s="13">
        <v>5</v>
      </c>
      <c r="J357" s="13">
        <v>98</v>
      </c>
      <c r="K357" s="18">
        <v>6.2999999999999998E-6</v>
      </c>
    </row>
    <row r="358" spans="1:11" ht="68" customHeight="1" x14ac:dyDescent="0.15">
      <c r="A358" s="9">
        <v>6078</v>
      </c>
      <c r="B358" s="10" t="s">
        <v>986</v>
      </c>
      <c r="C358" s="11" t="s">
        <v>987</v>
      </c>
      <c r="D358" s="11" t="s">
        <v>988</v>
      </c>
      <c r="E358" s="13">
        <v>430</v>
      </c>
      <c r="F358" s="13">
        <v>315</v>
      </c>
      <c r="G358" s="7">
        <f t="shared" si="5"/>
        <v>0</v>
      </c>
      <c r="H358" s="13">
        <v>118</v>
      </c>
      <c r="I358" s="13">
        <v>4</v>
      </c>
      <c r="J358" s="13">
        <v>122</v>
      </c>
      <c r="K358" s="14">
        <v>7.2200000000000003E-6</v>
      </c>
    </row>
    <row r="359" spans="1:11" ht="44" customHeight="1" x14ac:dyDescent="0.15">
      <c r="A359" s="9">
        <v>586</v>
      </c>
      <c r="B359" s="10" t="s">
        <v>989</v>
      </c>
      <c r="C359" s="11" t="s">
        <v>990</v>
      </c>
      <c r="D359" s="11" t="s">
        <v>991</v>
      </c>
      <c r="E359" s="12"/>
      <c r="F359" s="13">
        <v>32</v>
      </c>
      <c r="G359" s="7">
        <f t="shared" si="5"/>
        <v>0</v>
      </c>
      <c r="H359" s="13">
        <v>0</v>
      </c>
      <c r="I359" s="13">
        <v>1</v>
      </c>
      <c r="J359" s="13">
        <v>1</v>
      </c>
      <c r="K359" s="13">
        <v>0</v>
      </c>
    </row>
    <row r="360" spans="1:11" ht="68" customHeight="1" x14ac:dyDescent="0.15">
      <c r="A360" s="9">
        <v>3458</v>
      </c>
      <c r="B360" s="10" t="s">
        <v>992</v>
      </c>
      <c r="C360" s="11" t="s">
        <v>993</v>
      </c>
      <c r="D360" s="11" t="s">
        <v>994</v>
      </c>
      <c r="E360" s="12"/>
      <c r="F360" s="13">
        <v>936</v>
      </c>
      <c r="G360" s="7">
        <f t="shared" si="5"/>
        <v>0</v>
      </c>
      <c r="H360" s="13">
        <v>0</v>
      </c>
      <c r="I360" s="13">
        <v>1</v>
      </c>
      <c r="J360" s="13">
        <v>1</v>
      </c>
      <c r="K360" s="13">
        <v>0</v>
      </c>
    </row>
    <row r="361" spans="1:11" ht="104" customHeight="1" x14ac:dyDescent="0.15">
      <c r="A361" s="9">
        <v>1103</v>
      </c>
      <c r="B361" s="10" t="s">
        <v>995</v>
      </c>
      <c r="C361" s="11" t="s">
        <v>996</v>
      </c>
      <c r="D361" s="11" t="s">
        <v>997</v>
      </c>
      <c r="E361" s="12"/>
      <c r="F361" s="13">
        <v>6</v>
      </c>
      <c r="G361" s="7">
        <f t="shared" si="5"/>
        <v>0</v>
      </c>
      <c r="H361" s="13">
        <v>100</v>
      </c>
      <c r="I361" s="13">
        <v>46</v>
      </c>
      <c r="J361" s="13">
        <v>146</v>
      </c>
      <c r="K361" s="16">
        <v>2.018E-5</v>
      </c>
    </row>
    <row r="362" spans="1:11" ht="68" customHeight="1" x14ac:dyDescent="0.15">
      <c r="A362" s="9">
        <v>3614</v>
      </c>
      <c r="B362" s="10" t="s">
        <v>998</v>
      </c>
      <c r="C362" s="11" t="s">
        <v>999</v>
      </c>
      <c r="D362" s="11" t="s">
        <v>1000</v>
      </c>
      <c r="E362" s="12"/>
      <c r="F362" s="13">
        <v>900</v>
      </c>
      <c r="G362" s="7">
        <f t="shared" si="5"/>
        <v>0</v>
      </c>
      <c r="H362" s="13">
        <v>0</v>
      </c>
      <c r="I362" s="13">
        <v>1</v>
      </c>
      <c r="J362" s="13">
        <v>1</v>
      </c>
      <c r="K362" s="13">
        <v>0</v>
      </c>
    </row>
    <row r="363" spans="1:11" ht="44" customHeight="1" x14ac:dyDescent="0.15">
      <c r="A363" s="9">
        <v>4960</v>
      </c>
      <c r="B363" s="10" t="s">
        <v>1001</v>
      </c>
      <c r="C363" s="11" t="s">
        <v>1002</v>
      </c>
      <c r="D363" s="11" t="s">
        <v>1003</v>
      </c>
      <c r="E363" s="12"/>
      <c r="F363" s="13">
        <v>4</v>
      </c>
      <c r="G363" s="7">
        <f t="shared" si="5"/>
        <v>0</v>
      </c>
      <c r="H363" s="13">
        <v>0</v>
      </c>
      <c r="I363" s="13">
        <v>1</v>
      </c>
      <c r="J363" s="13">
        <v>1</v>
      </c>
      <c r="K363" s="13">
        <v>0</v>
      </c>
    </row>
    <row r="364" spans="1:11" ht="44" customHeight="1" x14ac:dyDescent="0.15">
      <c r="A364" s="9">
        <v>308</v>
      </c>
      <c r="B364" s="10" t="s">
        <v>1004</v>
      </c>
      <c r="C364" s="11" t="s">
        <v>1005</v>
      </c>
      <c r="D364" s="11" t="s">
        <v>258</v>
      </c>
      <c r="E364" s="13">
        <v>60</v>
      </c>
      <c r="F364" s="13">
        <v>60</v>
      </c>
      <c r="G364" s="7">
        <f t="shared" si="5"/>
        <v>1</v>
      </c>
      <c r="H364" s="13">
        <v>73</v>
      </c>
      <c r="I364" s="13">
        <v>4</v>
      </c>
      <c r="J364" s="13">
        <v>77</v>
      </c>
      <c r="K364" s="14">
        <v>4.9699999999999998E-6</v>
      </c>
    </row>
    <row r="365" spans="1:11" ht="92" customHeight="1" x14ac:dyDescent="0.15">
      <c r="A365" s="9">
        <v>5367</v>
      </c>
      <c r="B365" s="10" t="s">
        <v>1006</v>
      </c>
      <c r="C365" s="11" t="s">
        <v>1007</v>
      </c>
      <c r="D365" s="11" t="s">
        <v>186</v>
      </c>
      <c r="E365" s="13">
        <v>32</v>
      </c>
      <c r="F365" s="13">
        <v>95</v>
      </c>
      <c r="G365" s="7">
        <f t="shared" si="5"/>
        <v>0</v>
      </c>
      <c r="H365" s="13">
        <v>125</v>
      </c>
      <c r="I365" s="13">
        <v>4</v>
      </c>
      <c r="J365" s="13">
        <v>129</v>
      </c>
      <c r="K365" s="14">
        <v>7.5700000000000004E-6</v>
      </c>
    </row>
    <row r="366" spans="1:11" ht="68" customHeight="1" x14ac:dyDescent="0.15">
      <c r="A366" s="9">
        <v>6409</v>
      </c>
      <c r="B366" s="10" t="s">
        <v>1008</v>
      </c>
      <c r="C366" s="11" t="s">
        <v>1009</v>
      </c>
      <c r="D366" s="11" t="s">
        <v>101</v>
      </c>
      <c r="E366" s="13">
        <v>46</v>
      </c>
      <c r="F366" s="13">
        <v>90</v>
      </c>
      <c r="G366" s="7">
        <f t="shared" si="5"/>
        <v>0</v>
      </c>
      <c r="H366" s="13">
        <v>70</v>
      </c>
      <c r="I366" s="13">
        <v>4</v>
      </c>
      <c r="J366" s="13">
        <v>74</v>
      </c>
      <c r="K366" s="14">
        <v>4.8199999999999996E-6</v>
      </c>
    </row>
    <row r="367" spans="1:11" ht="80" customHeight="1" x14ac:dyDescent="0.15">
      <c r="A367" s="9">
        <v>7069</v>
      </c>
      <c r="B367" s="10" t="s">
        <v>1010</v>
      </c>
      <c r="C367" s="11" t="s">
        <v>1011</v>
      </c>
      <c r="D367" s="11" t="s">
        <v>1012</v>
      </c>
      <c r="E367" s="12"/>
      <c r="F367" s="13">
        <v>23</v>
      </c>
      <c r="G367" s="7">
        <f t="shared" si="5"/>
        <v>0</v>
      </c>
      <c r="H367" s="13">
        <v>0</v>
      </c>
      <c r="I367" s="13">
        <v>1</v>
      </c>
      <c r="J367" s="13">
        <v>1</v>
      </c>
      <c r="K367" s="13">
        <v>0</v>
      </c>
    </row>
    <row r="368" spans="1:11" ht="44" customHeight="1" x14ac:dyDescent="0.15">
      <c r="A368" s="9">
        <v>4316</v>
      </c>
      <c r="B368" s="10" t="s">
        <v>1013</v>
      </c>
      <c r="C368" s="11" t="s">
        <v>1014</v>
      </c>
      <c r="D368" s="11" t="s">
        <v>1015</v>
      </c>
      <c r="E368" s="12"/>
      <c r="F368" s="13">
        <v>26400</v>
      </c>
      <c r="G368" s="7">
        <f t="shared" si="5"/>
        <v>0</v>
      </c>
      <c r="H368" s="13">
        <v>105</v>
      </c>
      <c r="I368" s="13">
        <v>6</v>
      </c>
      <c r="J368" s="13">
        <v>111</v>
      </c>
      <c r="K368" s="15">
        <v>7.3544999999999996E-6</v>
      </c>
    </row>
    <row r="369" spans="1:11" ht="44" customHeight="1" x14ac:dyDescent="0.15">
      <c r="A369" s="9">
        <v>503</v>
      </c>
      <c r="B369" s="10" t="s">
        <v>1016</v>
      </c>
      <c r="C369" s="11" t="s">
        <v>1017</v>
      </c>
      <c r="D369" s="11" t="s">
        <v>1018</v>
      </c>
      <c r="E369" s="12"/>
      <c r="F369" s="13">
        <v>20</v>
      </c>
      <c r="G369" s="7">
        <f t="shared" si="5"/>
        <v>0</v>
      </c>
      <c r="H369" s="13">
        <v>0</v>
      </c>
      <c r="I369" s="13">
        <v>1</v>
      </c>
      <c r="J369" s="13">
        <v>1</v>
      </c>
      <c r="K369" s="13">
        <v>0</v>
      </c>
    </row>
    <row r="370" spans="1:11" ht="56" customHeight="1" x14ac:dyDescent="0.15">
      <c r="A370" s="9">
        <v>4781</v>
      </c>
      <c r="B370" s="10" t="s">
        <v>1019</v>
      </c>
      <c r="C370" s="11" t="s">
        <v>1020</v>
      </c>
      <c r="D370" s="11" t="s">
        <v>1021</v>
      </c>
      <c r="E370" s="12"/>
      <c r="F370" s="13">
        <v>1</v>
      </c>
      <c r="G370" s="7">
        <f t="shared" si="5"/>
        <v>0</v>
      </c>
      <c r="H370" s="13">
        <v>0</v>
      </c>
      <c r="I370" s="13">
        <v>1</v>
      </c>
      <c r="J370" s="13">
        <v>1</v>
      </c>
      <c r="K370" s="13">
        <v>0</v>
      </c>
    </row>
    <row r="371" spans="1:11" ht="128" customHeight="1" x14ac:dyDescent="0.15">
      <c r="A371" s="9">
        <v>3071</v>
      </c>
      <c r="B371" s="10" t="s">
        <v>1022</v>
      </c>
      <c r="C371" s="11" t="s">
        <v>1023</v>
      </c>
      <c r="D371" s="11" t="s">
        <v>1024</v>
      </c>
      <c r="E371" s="12"/>
      <c r="F371" s="13">
        <v>5</v>
      </c>
      <c r="G371" s="7">
        <f t="shared" si="5"/>
        <v>0</v>
      </c>
      <c r="H371" s="13">
        <v>0</v>
      </c>
      <c r="I371" s="13">
        <v>1</v>
      </c>
      <c r="J371" s="13">
        <v>1</v>
      </c>
      <c r="K371" s="13">
        <v>0</v>
      </c>
    </row>
    <row r="372" spans="1:11" ht="44" customHeight="1" x14ac:dyDescent="0.15">
      <c r="A372" s="9">
        <v>4629</v>
      </c>
      <c r="B372" s="10" t="s">
        <v>1025</v>
      </c>
      <c r="C372" s="11" t="s">
        <v>1026</v>
      </c>
      <c r="D372" s="11" t="s">
        <v>1027</v>
      </c>
      <c r="E372" s="12"/>
      <c r="F372" s="13">
        <v>2</v>
      </c>
      <c r="G372" s="7">
        <f t="shared" si="5"/>
        <v>0</v>
      </c>
      <c r="H372" s="13">
        <v>72</v>
      </c>
      <c r="I372" s="13">
        <v>6</v>
      </c>
      <c r="J372" s="13">
        <v>78</v>
      </c>
      <c r="K372" s="15">
        <v>5.6748000000000003E-6</v>
      </c>
    </row>
    <row r="373" spans="1:11" ht="104" customHeight="1" x14ac:dyDescent="0.15">
      <c r="A373" s="9">
        <v>3621</v>
      </c>
      <c r="B373" s="10" t="s">
        <v>1028</v>
      </c>
      <c r="C373" s="11" t="s">
        <v>1029</v>
      </c>
      <c r="D373" s="11" t="s">
        <v>1030</v>
      </c>
      <c r="E373" s="13">
        <v>4000</v>
      </c>
      <c r="F373" s="13">
        <v>7600</v>
      </c>
      <c r="G373" s="7">
        <f t="shared" si="5"/>
        <v>0</v>
      </c>
      <c r="H373" s="13">
        <v>82</v>
      </c>
      <c r="I373" s="13">
        <v>5</v>
      </c>
      <c r="J373" s="13">
        <v>87</v>
      </c>
      <c r="K373" s="14">
        <v>5.75E-6</v>
      </c>
    </row>
    <row r="374" spans="1:11" ht="68" customHeight="1" x14ac:dyDescent="0.15">
      <c r="A374" s="9">
        <v>683</v>
      </c>
      <c r="B374" s="10" t="s">
        <v>1031</v>
      </c>
      <c r="C374" s="11" t="s">
        <v>1032</v>
      </c>
      <c r="D374" s="11" t="s">
        <v>1033</v>
      </c>
      <c r="E374" s="12"/>
      <c r="F374" s="13">
        <v>15</v>
      </c>
      <c r="G374" s="7">
        <f t="shared" si="5"/>
        <v>0</v>
      </c>
      <c r="H374" s="13">
        <v>0</v>
      </c>
      <c r="I374" s="13">
        <v>1</v>
      </c>
      <c r="J374" s="13">
        <v>1</v>
      </c>
      <c r="K374" s="13">
        <v>0</v>
      </c>
    </row>
    <row r="375" spans="1:11" ht="116" customHeight="1" x14ac:dyDescent="0.15">
      <c r="A375" s="9">
        <v>4482</v>
      </c>
      <c r="B375" s="10" t="s">
        <v>1034</v>
      </c>
      <c r="C375" s="11" t="s">
        <v>1035</v>
      </c>
      <c r="D375" s="11" t="s">
        <v>1036</v>
      </c>
      <c r="E375" s="13">
        <v>3</v>
      </c>
      <c r="F375" s="13">
        <v>3</v>
      </c>
      <c r="G375" s="7">
        <f t="shared" si="5"/>
        <v>1</v>
      </c>
      <c r="H375" s="13">
        <v>110</v>
      </c>
      <c r="I375" s="13">
        <v>92</v>
      </c>
      <c r="J375" s="13">
        <v>202</v>
      </c>
      <c r="K375" s="15">
        <v>3.6418999999999998E-5</v>
      </c>
    </row>
    <row r="376" spans="1:11" ht="68" customHeight="1" x14ac:dyDescent="0.15">
      <c r="A376" s="9">
        <v>3819</v>
      </c>
      <c r="B376" s="10" t="s">
        <v>1037</v>
      </c>
      <c r="C376" s="11" t="s">
        <v>1038</v>
      </c>
      <c r="D376" s="11" t="s">
        <v>1039</v>
      </c>
      <c r="E376" s="12"/>
      <c r="F376" s="13">
        <v>37</v>
      </c>
      <c r="G376" s="7">
        <f t="shared" si="5"/>
        <v>0</v>
      </c>
      <c r="H376" s="13">
        <v>0</v>
      </c>
      <c r="I376" s="13">
        <v>1</v>
      </c>
      <c r="J376" s="13">
        <v>1</v>
      </c>
      <c r="K376" s="13">
        <v>0</v>
      </c>
    </row>
    <row r="377" spans="1:11" ht="68" customHeight="1" x14ac:dyDescent="0.15">
      <c r="A377" s="9">
        <v>2063</v>
      </c>
      <c r="B377" s="10" t="s">
        <v>1040</v>
      </c>
      <c r="C377" s="11" t="s">
        <v>1041</v>
      </c>
      <c r="D377" s="11" t="s">
        <v>1042</v>
      </c>
      <c r="E377" s="12"/>
      <c r="F377" s="13">
        <v>200</v>
      </c>
      <c r="G377" s="7">
        <f t="shared" si="5"/>
        <v>0</v>
      </c>
      <c r="H377" s="13">
        <v>156</v>
      </c>
      <c r="I377" s="13">
        <v>10</v>
      </c>
      <c r="J377" s="13">
        <v>166</v>
      </c>
      <c r="K377" s="17">
        <v>1.12904E-5</v>
      </c>
    </row>
    <row r="378" spans="1:11" ht="92" customHeight="1" x14ac:dyDescent="0.15">
      <c r="A378" s="9">
        <v>7057</v>
      </c>
      <c r="B378" s="10" t="s">
        <v>1043</v>
      </c>
      <c r="C378" s="11" t="s">
        <v>1044</v>
      </c>
      <c r="D378" s="11" t="s">
        <v>1045</v>
      </c>
      <c r="E378" s="12"/>
      <c r="F378" s="13">
        <v>12</v>
      </c>
      <c r="G378" s="7">
        <f t="shared" si="5"/>
        <v>0</v>
      </c>
      <c r="H378" s="13">
        <v>0</v>
      </c>
      <c r="I378" s="13">
        <v>1</v>
      </c>
      <c r="J378" s="13">
        <v>1</v>
      </c>
      <c r="K378" s="13">
        <v>0</v>
      </c>
    </row>
    <row r="379" spans="1:11" ht="44" customHeight="1" x14ac:dyDescent="0.15">
      <c r="A379" s="9">
        <v>1515</v>
      </c>
      <c r="B379" s="10" t="s">
        <v>1046</v>
      </c>
      <c r="C379" s="11" t="s">
        <v>1047</v>
      </c>
      <c r="D379" s="11" t="s">
        <v>1048</v>
      </c>
      <c r="E379" s="12"/>
      <c r="F379" s="13">
        <v>159</v>
      </c>
      <c r="G379" s="7">
        <f t="shared" si="5"/>
        <v>0</v>
      </c>
      <c r="H379" s="13">
        <v>0</v>
      </c>
      <c r="I379" s="13">
        <v>1</v>
      </c>
      <c r="J379" s="13">
        <v>1</v>
      </c>
      <c r="K379" s="13">
        <v>0</v>
      </c>
    </row>
    <row r="380" spans="1:11" ht="92" customHeight="1" x14ac:dyDescent="0.15">
      <c r="A380" s="9">
        <v>800</v>
      </c>
      <c r="B380" s="10" t="s">
        <v>1049</v>
      </c>
      <c r="C380" s="11" t="s">
        <v>1050</v>
      </c>
      <c r="D380" s="11" t="s">
        <v>183</v>
      </c>
      <c r="E380" s="13">
        <v>8</v>
      </c>
      <c r="F380" s="13">
        <v>3</v>
      </c>
      <c r="G380" s="7">
        <f t="shared" si="5"/>
        <v>0</v>
      </c>
      <c r="H380" s="13">
        <v>112</v>
      </c>
      <c r="I380" s="13">
        <v>4</v>
      </c>
      <c r="J380" s="13">
        <v>116</v>
      </c>
      <c r="K380" s="14">
        <v>6.9199999999999998E-6</v>
      </c>
    </row>
    <row r="381" spans="1:11" ht="68" customHeight="1" x14ac:dyDescent="0.15">
      <c r="A381" s="9">
        <v>1755</v>
      </c>
      <c r="B381" s="10" t="s">
        <v>1051</v>
      </c>
      <c r="C381" s="11" t="s">
        <v>1052</v>
      </c>
      <c r="D381" s="11" t="s">
        <v>1053</v>
      </c>
      <c r="E381" s="12"/>
      <c r="F381" s="13">
        <v>5</v>
      </c>
      <c r="G381" s="7">
        <f t="shared" si="5"/>
        <v>0</v>
      </c>
      <c r="H381" s="13">
        <v>89</v>
      </c>
      <c r="I381" s="13">
        <v>6</v>
      </c>
      <c r="J381" s="13">
        <v>95</v>
      </c>
      <c r="K381" s="14">
        <v>6.4300000000000003E-6</v>
      </c>
    </row>
    <row r="382" spans="1:11" ht="92" customHeight="1" x14ac:dyDescent="0.15">
      <c r="A382" s="9">
        <v>6309</v>
      </c>
      <c r="B382" s="10" t="s">
        <v>1054</v>
      </c>
      <c r="C382" s="11" t="s">
        <v>1055</v>
      </c>
      <c r="D382" s="11" t="s">
        <v>1056</v>
      </c>
      <c r="E382" s="12">
        <v>15</v>
      </c>
      <c r="F382" s="13">
        <v>15</v>
      </c>
      <c r="G382" s="7">
        <f t="shared" si="5"/>
        <v>1</v>
      </c>
      <c r="H382" s="13">
        <v>99</v>
      </c>
      <c r="I382" s="13">
        <v>40</v>
      </c>
      <c r="J382" s="13">
        <v>139</v>
      </c>
      <c r="K382" s="16">
        <v>1.8150000000000001E-5</v>
      </c>
    </row>
    <row r="383" spans="1:11" ht="80" customHeight="1" x14ac:dyDescent="0.15">
      <c r="A383" s="9">
        <v>7439</v>
      </c>
      <c r="B383" s="10" t="s">
        <v>1057</v>
      </c>
      <c r="C383" s="11" t="s">
        <v>1058</v>
      </c>
      <c r="D383" s="11" t="s">
        <v>1059</v>
      </c>
      <c r="E383" s="12"/>
      <c r="F383" s="13">
        <v>78</v>
      </c>
      <c r="G383" s="7">
        <f t="shared" si="5"/>
        <v>0</v>
      </c>
      <c r="H383" s="13">
        <v>0</v>
      </c>
      <c r="I383" s="13">
        <v>1</v>
      </c>
      <c r="J383" s="13">
        <v>1</v>
      </c>
      <c r="K383" s="13">
        <v>0</v>
      </c>
    </row>
    <row r="384" spans="1:11" ht="44" customHeight="1" x14ac:dyDescent="0.15">
      <c r="A384" s="9">
        <v>1807</v>
      </c>
      <c r="B384" s="10" t="s">
        <v>1060</v>
      </c>
      <c r="C384" s="11" t="s">
        <v>1061</v>
      </c>
      <c r="D384" s="11" t="s">
        <v>1062</v>
      </c>
      <c r="E384" s="13">
        <v>72</v>
      </c>
      <c r="F384" s="13">
        <v>32</v>
      </c>
      <c r="G384" s="7">
        <f t="shared" si="5"/>
        <v>0</v>
      </c>
      <c r="H384" s="13">
        <v>85</v>
      </c>
      <c r="I384" s="13">
        <v>4</v>
      </c>
      <c r="J384" s="13">
        <v>89</v>
      </c>
      <c r="K384" s="14">
        <v>5.57E-6</v>
      </c>
    </row>
    <row r="385" spans="1:11" ht="56" customHeight="1" x14ac:dyDescent="0.15">
      <c r="A385" s="9">
        <v>7317</v>
      </c>
      <c r="B385" s="10" t="s">
        <v>1063</v>
      </c>
      <c r="C385" s="11" t="s">
        <v>1064</v>
      </c>
      <c r="D385" s="11" t="s">
        <v>306</v>
      </c>
      <c r="E385" s="13">
        <v>26</v>
      </c>
      <c r="F385" s="13">
        <v>38</v>
      </c>
      <c r="G385" s="7">
        <f t="shared" si="5"/>
        <v>0</v>
      </c>
      <c r="H385" s="13">
        <v>86</v>
      </c>
      <c r="I385" s="13">
        <v>4</v>
      </c>
      <c r="J385" s="13">
        <v>90</v>
      </c>
      <c r="K385" s="14">
        <v>5.6200000000000004E-6</v>
      </c>
    </row>
    <row r="386" spans="1:11" ht="68" customHeight="1" x14ac:dyDescent="0.15">
      <c r="A386" s="9">
        <v>4680</v>
      </c>
      <c r="B386" s="10" t="s">
        <v>1065</v>
      </c>
      <c r="C386" s="11" t="s">
        <v>1066</v>
      </c>
      <c r="D386" s="11" t="s">
        <v>1067</v>
      </c>
      <c r="E386" s="12"/>
      <c r="F386" s="13">
        <v>56</v>
      </c>
      <c r="G386" s="7">
        <f t="shared" si="5"/>
        <v>0</v>
      </c>
      <c r="H386" s="13">
        <v>0</v>
      </c>
      <c r="I386" s="13">
        <v>1</v>
      </c>
      <c r="J386" s="13">
        <v>1</v>
      </c>
      <c r="K386" s="13">
        <v>0</v>
      </c>
    </row>
    <row r="387" spans="1:11" ht="68" customHeight="1" x14ac:dyDescent="0.15">
      <c r="A387" s="9">
        <v>1181</v>
      </c>
      <c r="B387" s="10" t="s">
        <v>1068</v>
      </c>
      <c r="C387" s="11" t="s">
        <v>1069</v>
      </c>
      <c r="D387" s="11" t="s">
        <v>1070</v>
      </c>
      <c r="E387" s="12"/>
      <c r="F387" s="13">
        <v>660</v>
      </c>
      <c r="G387" s="7">
        <f t="shared" si="5"/>
        <v>0</v>
      </c>
      <c r="H387" s="13">
        <v>0</v>
      </c>
      <c r="I387" s="13">
        <v>1</v>
      </c>
      <c r="J387" s="13">
        <v>1</v>
      </c>
      <c r="K387" s="13">
        <v>0</v>
      </c>
    </row>
    <row r="388" spans="1:11" ht="80" customHeight="1" x14ac:dyDescent="0.15">
      <c r="A388" s="9">
        <v>773</v>
      </c>
      <c r="B388" s="10" t="s">
        <v>1071</v>
      </c>
      <c r="C388" s="11" t="s">
        <v>1072</v>
      </c>
      <c r="D388" s="11" t="s">
        <v>1073</v>
      </c>
      <c r="E388" s="13">
        <v>125</v>
      </c>
      <c r="F388" s="13">
        <v>121</v>
      </c>
      <c r="G388" s="7">
        <f t="shared" ref="G388:G451" si="6">IF(OR(ISBLANK(E388), ISBLANK(F388)), 0, IF(E388=F388, 1, 0))</f>
        <v>0</v>
      </c>
      <c r="H388" s="13">
        <v>80</v>
      </c>
      <c r="I388" s="13">
        <v>4</v>
      </c>
      <c r="J388" s="13">
        <v>84</v>
      </c>
      <c r="K388" s="14">
        <v>5.3199999999999999E-6</v>
      </c>
    </row>
    <row r="389" spans="1:11" ht="68" customHeight="1" x14ac:dyDescent="0.15">
      <c r="A389" s="9">
        <v>4857</v>
      </c>
      <c r="B389" s="10" t="s">
        <v>1074</v>
      </c>
      <c r="C389" s="11" t="s">
        <v>1075</v>
      </c>
      <c r="D389" s="11" t="s">
        <v>124</v>
      </c>
      <c r="E389" s="13">
        <v>100</v>
      </c>
      <c r="F389" s="13">
        <v>196</v>
      </c>
      <c r="G389" s="7">
        <f t="shared" si="6"/>
        <v>0</v>
      </c>
      <c r="H389" s="13">
        <v>81</v>
      </c>
      <c r="I389" s="13">
        <v>4</v>
      </c>
      <c r="J389" s="13">
        <v>85</v>
      </c>
      <c r="K389" s="14">
        <v>5.3700000000000003E-6</v>
      </c>
    </row>
    <row r="390" spans="1:11" ht="68" customHeight="1" x14ac:dyDescent="0.15">
      <c r="A390" s="9">
        <v>1731</v>
      </c>
      <c r="B390" s="10" t="s">
        <v>1076</v>
      </c>
      <c r="C390" s="11" t="s">
        <v>1077</v>
      </c>
      <c r="D390" s="11" t="s">
        <v>81</v>
      </c>
      <c r="E390" s="13">
        <v>6</v>
      </c>
      <c r="F390" s="13">
        <v>1</v>
      </c>
      <c r="G390" s="7">
        <f t="shared" si="6"/>
        <v>0</v>
      </c>
      <c r="H390" s="13">
        <v>110</v>
      </c>
      <c r="I390" s="13">
        <v>4</v>
      </c>
      <c r="J390" s="13">
        <v>114</v>
      </c>
      <c r="K390" s="14">
        <v>6.8199999999999999E-6</v>
      </c>
    </row>
    <row r="391" spans="1:11" ht="44" customHeight="1" x14ac:dyDescent="0.15">
      <c r="A391" s="9">
        <v>3439</v>
      </c>
      <c r="B391" s="10" t="s">
        <v>1078</v>
      </c>
      <c r="C391" s="11" t="s">
        <v>1079</v>
      </c>
      <c r="D391" s="11" t="s">
        <v>154</v>
      </c>
      <c r="E391" s="13">
        <v>20</v>
      </c>
      <c r="F391" s="13">
        <v>20</v>
      </c>
      <c r="G391" s="7">
        <f t="shared" si="6"/>
        <v>1</v>
      </c>
      <c r="H391" s="13">
        <v>75</v>
      </c>
      <c r="I391" s="13">
        <v>4</v>
      </c>
      <c r="J391" s="13">
        <v>79</v>
      </c>
      <c r="K391" s="14">
        <v>5.0699999999999997E-6</v>
      </c>
    </row>
    <row r="392" spans="1:11" ht="56" customHeight="1" x14ac:dyDescent="0.15">
      <c r="A392" s="9">
        <v>1850</v>
      </c>
      <c r="B392" s="10" t="s">
        <v>1080</v>
      </c>
      <c r="C392" s="11" t="s">
        <v>1081</v>
      </c>
      <c r="D392" s="11" t="s">
        <v>1082</v>
      </c>
      <c r="E392" s="13">
        <v>968</v>
      </c>
      <c r="F392" s="13">
        <v>208</v>
      </c>
      <c r="G392" s="7">
        <f t="shared" si="6"/>
        <v>0</v>
      </c>
      <c r="H392" s="13">
        <v>103</v>
      </c>
      <c r="I392" s="13">
        <v>4</v>
      </c>
      <c r="J392" s="13">
        <v>107</v>
      </c>
      <c r="K392" s="14">
        <v>6.4699999999999999E-6</v>
      </c>
    </row>
    <row r="393" spans="1:11" ht="44" customHeight="1" x14ac:dyDescent="0.15">
      <c r="A393" s="9">
        <v>2907</v>
      </c>
      <c r="B393" s="10" t="s">
        <v>1083</v>
      </c>
      <c r="C393" s="11" t="s">
        <v>1084</v>
      </c>
      <c r="D393" s="11" t="s">
        <v>1085</v>
      </c>
      <c r="E393" s="13">
        <v>245</v>
      </c>
      <c r="F393" s="13">
        <v>105</v>
      </c>
      <c r="G393" s="7">
        <f t="shared" si="6"/>
        <v>0</v>
      </c>
      <c r="H393" s="13">
        <v>56</v>
      </c>
      <c r="I393" s="13">
        <v>4</v>
      </c>
      <c r="J393" s="13">
        <v>60</v>
      </c>
      <c r="K393" s="14">
        <v>4.1200000000000004E-6</v>
      </c>
    </row>
    <row r="394" spans="1:11" ht="56" customHeight="1" x14ac:dyDescent="0.15">
      <c r="A394" s="9">
        <v>7042</v>
      </c>
      <c r="B394" s="10" t="s">
        <v>1086</v>
      </c>
      <c r="C394" s="11" t="s">
        <v>1087</v>
      </c>
      <c r="D394" s="11" t="s">
        <v>208</v>
      </c>
      <c r="E394" s="12"/>
      <c r="F394" s="13">
        <v>35</v>
      </c>
      <c r="G394" s="7">
        <f t="shared" si="6"/>
        <v>0</v>
      </c>
      <c r="H394" s="13">
        <v>0</v>
      </c>
      <c r="I394" s="13">
        <v>1</v>
      </c>
      <c r="J394" s="13">
        <v>1</v>
      </c>
      <c r="K394" s="13">
        <v>0</v>
      </c>
    </row>
    <row r="395" spans="1:11" ht="56" customHeight="1" x14ac:dyDescent="0.15">
      <c r="A395" s="9">
        <v>222</v>
      </c>
      <c r="B395" s="10" t="s">
        <v>1088</v>
      </c>
      <c r="C395" s="11" t="s">
        <v>1089</v>
      </c>
      <c r="D395" s="11" t="s">
        <v>1090</v>
      </c>
      <c r="E395" s="13">
        <v>295</v>
      </c>
      <c r="F395" s="13">
        <v>59</v>
      </c>
      <c r="G395" s="7">
        <f t="shared" si="6"/>
        <v>0</v>
      </c>
      <c r="H395" s="13">
        <v>82</v>
      </c>
      <c r="I395" s="13">
        <v>4</v>
      </c>
      <c r="J395" s="13">
        <v>86</v>
      </c>
      <c r="K395" s="14">
        <v>5.4199999999999998E-6</v>
      </c>
    </row>
    <row r="396" spans="1:11" ht="92" customHeight="1" x14ac:dyDescent="0.15">
      <c r="A396" s="9">
        <v>4518</v>
      </c>
      <c r="B396" s="10" t="s">
        <v>1091</v>
      </c>
      <c r="C396" s="11" t="s">
        <v>1092</v>
      </c>
      <c r="D396" s="11" t="s">
        <v>1093</v>
      </c>
      <c r="E396" s="12"/>
      <c r="F396" s="13">
        <v>42</v>
      </c>
      <c r="G396" s="7">
        <f t="shared" si="6"/>
        <v>0</v>
      </c>
      <c r="H396" s="13">
        <v>0</v>
      </c>
      <c r="I396" s="13">
        <v>1</v>
      </c>
      <c r="J396" s="13">
        <v>1</v>
      </c>
      <c r="K396" s="13">
        <v>0</v>
      </c>
    </row>
    <row r="397" spans="1:11" ht="68" customHeight="1" x14ac:dyDescent="0.15">
      <c r="A397" s="9">
        <v>3977</v>
      </c>
      <c r="B397" s="10" t="s">
        <v>1094</v>
      </c>
      <c r="C397" s="11" t="s">
        <v>1095</v>
      </c>
      <c r="D397" s="11" t="s">
        <v>1096</v>
      </c>
      <c r="E397" s="12"/>
      <c r="F397" s="13">
        <v>162</v>
      </c>
      <c r="G397" s="7">
        <f t="shared" si="6"/>
        <v>0</v>
      </c>
      <c r="H397" s="13">
        <v>0</v>
      </c>
      <c r="I397" s="13">
        <v>1</v>
      </c>
      <c r="J397" s="13">
        <v>1</v>
      </c>
      <c r="K397" s="13">
        <v>0</v>
      </c>
    </row>
    <row r="398" spans="1:11" ht="56" customHeight="1" x14ac:dyDescent="0.15">
      <c r="A398" s="9">
        <v>2020</v>
      </c>
      <c r="B398" s="10" t="s">
        <v>1097</v>
      </c>
      <c r="C398" s="11" t="s">
        <v>1098</v>
      </c>
      <c r="D398" s="11" t="s">
        <v>1099</v>
      </c>
      <c r="E398" s="12"/>
      <c r="F398" s="13">
        <v>240</v>
      </c>
      <c r="G398" s="7">
        <f t="shared" si="6"/>
        <v>0</v>
      </c>
      <c r="H398" s="13">
        <v>0</v>
      </c>
      <c r="I398" s="13">
        <v>1</v>
      </c>
      <c r="J398" s="13">
        <v>1</v>
      </c>
      <c r="K398" s="13">
        <v>0</v>
      </c>
    </row>
    <row r="399" spans="1:11" ht="44" customHeight="1" x14ac:dyDescent="0.15">
      <c r="A399" s="9">
        <v>642</v>
      </c>
      <c r="B399" s="10" t="s">
        <v>1100</v>
      </c>
      <c r="C399" s="11" t="s">
        <v>1101</v>
      </c>
      <c r="D399" s="11" t="s">
        <v>1102</v>
      </c>
      <c r="E399" s="12"/>
      <c r="F399" s="13">
        <v>15</v>
      </c>
      <c r="G399" s="7">
        <f t="shared" si="6"/>
        <v>0</v>
      </c>
      <c r="H399" s="13">
        <v>0</v>
      </c>
      <c r="I399" s="13">
        <v>1</v>
      </c>
      <c r="J399" s="13">
        <v>1</v>
      </c>
      <c r="K399" s="13">
        <v>0</v>
      </c>
    </row>
    <row r="400" spans="1:11" ht="80" customHeight="1" x14ac:dyDescent="0.15">
      <c r="A400" s="9">
        <v>5099</v>
      </c>
      <c r="B400" s="10" t="s">
        <v>1103</v>
      </c>
      <c r="C400" s="11" t="s">
        <v>1104</v>
      </c>
      <c r="D400" s="11" t="s">
        <v>405</v>
      </c>
      <c r="E400" s="13">
        <v>40</v>
      </c>
      <c r="F400" s="13">
        <v>40</v>
      </c>
      <c r="G400" s="7">
        <f t="shared" si="6"/>
        <v>1</v>
      </c>
      <c r="H400" s="13">
        <v>62</v>
      </c>
      <c r="I400" s="13">
        <v>4</v>
      </c>
      <c r="J400" s="13">
        <v>66</v>
      </c>
      <c r="K400" s="14">
        <v>4.42E-6</v>
      </c>
    </row>
    <row r="401" spans="1:11" ht="116" customHeight="1" x14ac:dyDescent="0.15">
      <c r="A401" s="9">
        <v>6687</v>
      </c>
      <c r="B401" s="10" t="s">
        <v>1105</v>
      </c>
      <c r="C401" s="11" t="s">
        <v>1106</v>
      </c>
      <c r="D401" s="11" t="s">
        <v>1107</v>
      </c>
      <c r="E401" s="12">
        <v>2</v>
      </c>
      <c r="F401" s="13">
        <v>2</v>
      </c>
      <c r="G401" s="7">
        <f t="shared" si="6"/>
        <v>1</v>
      </c>
      <c r="H401" s="13">
        <v>86</v>
      </c>
      <c r="I401" s="13">
        <v>146</v>
      </c>
      <c r="J401" s="13">
        <v>232</v>
      </c>
      <c r="K401" s="17">
        <v>5.3287400000000001E-5</v>
      </c>
    </row>
    <row r="402" spans="1:11" ht="56" customHeight="1" x14ac:dyDescent="0.15">
      <c r="A402" s="9">
        <v>3025</v>
      </c>
      <c r="B402" s="10" t="s">
        <v>1108</v>
      </c>
      <c r="C402" s="11" t="s">
        <v>1109</v>
      </c>
      <c r="D402" s="11" t="s">
        <v>110</v>
      </c>
      <c r="E402" s="13">
        <v>48</v>
      </c>
      <c r="F402" s="13">
        <v>96</v>
      </c>
      <c r="G402" s="7">
        <f t="shared" si="6"/>
        <v>0</v>
      </c>
      <c r="H402" s="13">
        <v>81</v>
      </c>
      <c r="I402" s="13">
        <v>4</v>
      </c>
      <c r="J402" s="13">
        <v>85</v>
      </c>
      <c r="K402" s="14">
        <v>5.3700000000000003E-6</v>
      </c>
    </row>
    <row r="403" spans="1:11" ht="80" customHeight="1" x14ac:dyDescent="0.15">
      <c r="A403" s="9">
        <v>2273</v>
      </c>
      <c r="B403" s="10" t="s">
        <v>1110</v>
      </c>
      <c r="C403" s="11" t="s">
        <v>1111</v>
      </c>
      <c r="D403" s="11" t="s">
        <v>1112</v>
      </c>
      <c r="E403" s="12"/>
      <c r="F403" s="13">
        <v>15890</v>
      </c>
      <c r="G403" s="7">
        <f t="shared" si="6"/>
        <v>0</v>
      </c>
      <c r="H403" s="13">
        <v>0</v>
      </c>
      <c r="I403" s="13">
        <v>1</v>
      </c>
      <c r="J403" s="13">
        <v>1</v>
      </c>
      <c r="K403" s="13">
        <v>0</v>
      </c>
    </row>
    <row r="404" spans="1:11" ht="44" customHeight="1" x14ac:dyDescent="0.15">
      <c r="A404" s="9">
        <v>6329</v>
      </c>
      <c r="B404" s="10" t="s">
        <v>1113</v>
      </c>
      <c r="C404" s="11" t="s">
        <v>1114</v>
      </c>
      <c r="D404" s="11" t="s">
        <v>519</v>
      </c>
      <c r="E404" s="13">
        <v>22</v>
      </c>
      <c r="F404" s="13">
        <v>22</v>
      </c>
      <c r="G404" s="7">
        <f t="shared" si="6"/>
        <v>1</v>
      </c>
      <c r="H404" s="13">
        <v>57</v>
      </c>
      <c r="I404" s="13">
        <v>4</v>
      </c>
      <c r="J404" s="13">
        <v>61</v>
      </c>
      <c r="K404" s="14">
        <v>4.1699999999999999E-6</v>
      </c>
    </row>
    <row r="405" spans="1:11" ht="56" customHeight="1" x14ac:dyDescent="0.15">
      <c r="A405" s="9">
        <v>1041</v>
      </c>
      <c r="B405" s="10" t="s">
        <v>1115</v>
      </c>
      <c r="C405" s="11" t="s">
        <v>1116</v>
      </c>
      <c r="D405" s="11" t="s">
        <v>1117</v>
      </c>
      <c r="E405" s="13">
        <v>270</v>
      </c>
      <c r="F405" s="13">
        <v>130</v>
      </c>
      <c r="G405" s="7">
        <f t="shared" si="6"/>
        <v>0</v>
      </c>
      <c r="H405" s="13">
        <v>79</v>
      </c>
      <c r="I405" s="13">
        <v>4</v>
      </c>
      <c r="J405" s="13">
        <v>83</v>
      </c>
      <c r="K405" s="15">
        <v>5.3611000000000002E-6</v>
      </c>
    </row>
    <row r="406" spans="1:11" ht="56" customHeight="1" x14ac:dyDescent="0.15">
      <c r="A406" s="9">
        <v>6507</v>
      </c>
      <c r="B406" s="10" t="s">
        <v>1118</v>
      </c>
      <c r="C406" s="11" t="s">
        <v>1119</v>
      </c>
      <c r="D406" s="11" t="s">
        <v>208</v>
      </c>
      <c r="E406" s="12"/>
      <c r="F406" s="13">
        <v>245</v>
      </c>
      <c r="G406" s="7">
        <f t="shared" si="6"/>
        <v>0</v>
      </c>
      <c r="H406" s="13">
        <v>0</v>
      </c>
      <c r="I406" s="13">
        <v>1</v>
      </c>
      <c r="J406" s="13">
        <v>1</v>
      </c>
      <c r="K406" s="13">
        <v>0</v>
      </c>
    </row>
    <row r="407" spans="1:11" ht="56" customHeight="1" x14ac:dyDescent="0.15">
      <c r="A407" s="9">
        <v>7417</v>
      </c>
      <c r="B407" s="10" t="s">
        <v>1120</v>
      </c>
      <c r="C407" s="11" t="s">
        <v>1121</v>
      </c>
      <c r="D407" s="11" t="s">
        <v>1122</v>
      </c>
      <c r="E407" s="12"/>
      <c r="F407" s="13">
        <v>170</v>
      </c>
      <c r="G407" s="7">
        <f t="shared" si="6"/>
        <v>0</v>
      </c>
      <c r="H407" s="13">
        <v>0</v>
      </c>
      <c r="I407" s="13">
        <v>1</v>
      </c>
      <c r="J407" s="13">
        <v>1</v>
      </c>
      <c r="K407" s="13">
        <v>0</v>
      </c>
    </row>
    <row r="408" spans="1:11" ht="56" customHeight="1" x14ac:dyDescent="0.15">
      <c r="A408" s="9">
        <v>2299</v>
      </c>
      <c r="B408" s="10" t="s">
        <v>1123</v>
      </c>
      <c r="C408" s="11" t="s">
        <v>1124</v>
      </c>
      <c r="D408" s="11" t="s">
        <v>1125</v>
      </c>
      <c r="E408" s="12"/>
      <c r="F408" s="13">
        <v>40</v>
      </c>
      <c r="G408" s="7">
        <f t="shared" si="6"/>
        <v>0</v>
      </c>
      <c r="H408" s="13">
        <v>0</v>
      </c>
      <c r="I408" s="13">
        <v>1</v>
      </c>
      <c r="J408" s="13">
        <v>1</v>
      </c>
      <c r="K408" s="13">
        <v>0</v>
      </c>
    </row>
    <row r="409" spans="1:11" ht="44" customHeight="1" x14ac:dyDescent="0.15">
      <c r="A409" s="9">
        <v>3653</v>
      </c>
      <c r="B409" s="10" t="s">
        <v>1126</v>
      </c>
      <c r="C409" s="11" t="s">
        <v>1127</v>
      </c>
      <c r="D409" s="11" t="s">
        <v>405</v>
      </c>
      <c r="E409" s="13">
        <v>40</v>
      </c>
      <c r="F409" s="13">
        <v>25</v>
      </c>
      <c r="G409" s="7">
        <f t="shared" si="6"/>
        <v>0</v>
      </c>
      <c r="H409" s="13">
        <v>76</v>
      </c>
      <c r="I409" s="13">
        <v>4</v>
      </c>
      <c r="J409" s="13">
        <v>80</v>
      </c>
      <c r="K409" s="14">
        <v>5.1200000000000001E-6</v>
      </c>
    </row>
    <row r="410" spans="1:11" ht="56" customHeight="1" x14ac:dyDescent="0.15">
      <c r="A410" s="9">
        <v>3881</v>
      </c>
      <c r="B410" s="10" t="s">
        <v>1128</v>
      </c>
      <c r="C410" s="11" t="s">
        <v>1129</v>
      </c>
      <c r="D410" s="11" t="s">
        <v>1130</v>
      </c>
      <c r="E410" s="12"/>
      <c r="F410" s="13">
        <v>16</v>
      </c>
      <c r="G410" s="7">
        <f t="shared" si="6"/>
        <v>0</v>
      </c>
      <c r="H410" s="13">
        <v>0</v>
      </c>
      <c r="I410" s="13">
        <v>1</v>
      </c>
      <c r="J410" s="13">
        <v>1</v>
      </c>
      <c r="K410" s="13">
        <v>0</v>
      </c>
    </row>
    <row r="411" spans="1:11" ht="80" customHeight="1" x14ac:dyDescent="0.15">
      <c r="A411" s="9">
        <v>3721</v>
      </c>
      <c r="B411" s="10" t="s">
        <v>1131</v>
      </c>
      <c r="C411" s="11" t="s">
        <v>1132</v>
      </c>
      <c r="D411" s="11" t="s">
        <v>1133</v>
      </c>
      <c r="E411" s="12"/>
      <c r="F411" s="13">
        <v>3</v>
      </c>
      <c r="G411" s="7">
        <f t="shared" si="6"/>
        <v>0</v>
      </c>
      <c r="H411" s="13">
        <v>0</v>
      </c>
      <c r="I411" s="13">
        <v>1</v>
      </c>
      <c r="J411" s="13">
        <v>1</v>
      </c>
      <c r="K411" s="13">
        <v>0</v>
      </c>
    </row>
    <row r="412" spans="1:11" ht="44" customHeight="1" x14ac:dyDescent="0.15">
      <c r="A412" s="9">
        <v>7266</v>
      </c>
      <c r="B412" s="10" t="s">
        <v>1134</v>
      </c>
      <c r="C412" s="11" t="s">
        <v>1135</v>
      </c>
      <c r="D412" s="11" t="s">
        <v>208</v>
      </c>
      <c r="E412" s="12"/>
      <c r="F412" s="13">
        <v>192</v>
      </c>
      <c r="G412" s="7">
        <f t="shared" si="6"/>
        <v>0</v>
      </c>
      <c r="H412" s="13">
        <v>0</v>
      </c>
      <c r="I412" s="13">
        <v>1</v>
      </c>
      <c r="J412" s="13">
        <v>1</v>
      </c>
      <c r="K412" s="13">
        <v>0</v>
      </c>
    </row>
    <row r="413" spans="1:11" ht="56" customHeight="1" x14ac:dyDescent="0.15">
      <c r="A413" s="9">
        <v>6434</v>
      </c>
      <c r="B413" s="10" t="s">
        <v>1136</v>
      </c>
      <c r="C413" s="11" t="s">
        <v>1137</v>
      </c>
      <c r="D413" s="11" t="s">
        <v>1138</v>
      </c>
      <c r="E413" s="12"/>
      <c r="F413" s="13">
        <v>4</v>
      </c>
      <c r="G413" s="7">
        <f t="shared" si="6"/>
        <v>0</v>
      </c>
      <c r="H413" s="13">
        <v>0</v>
      </c>
      <c r="I413" s="13">
        <v>1</v>
      </c>
      <c r="J413" s="13">
        <v>1</v>
      </c>
      <c r="K413" s="13">
        <v>0</v>
      </c>
    </row>
    <row r="414" spans="1:11" ht="44" customHeight="1" x14ac:dyDescent="0.15">
      <c r="A414" s="9">
        <v>1078</v>
      </c>
      <c r="B414" s="10" t="s">
        <v>1139</v>
      </c>
      <c r="C414" s="11" t="s">
        <v>1140</v>
      </c>
      <c r="D414" s="11" t="s">
        <v>1141</v>
      </c>
      <c r="E414" s="13">
        <v>59</v>
      </c>
      <c r="F414" s="13">
        <v>65</v>
      </c>
      <c r="G414" s="7">
        <f t="shared" si="6"/>
        <v>0</v>
      </c>
      <c r="H414" s="13">
        <v>72</v>
      </c>
      <c r="I414" s="13">
        <v>4</v>
      </c>
      <c r="J414" s="13">
        <v>76</v>
      </c>
      <c r="K414" s="14">
        <v>4.9200000000000003E-6</v>
      </c>
    </row>
    <row r="415" spans="1:11" ht="44" customHeight="1" x14ac:dyDescent="0.15">
      <c r="A415" s="9">
        <v>6074</v>
      </c>
      <c r="B415" s="10" t="s">
        <v>1142</v>
      </c>
      <c r="C415" s="11" t="s">
        <v>1143</v>
      </c>
      <c r="D415" s="11" t="s">
        <v>1144</v>
      </c>
      <c r="E415" s="13">
        <v>475</v>
      </c>
      <c r="F415" s="13">
        <v>245</v>
      </c>
      <c r="G415" s="7">
        <f t="shared" si="6"/>
        <v>0</v>
      </c>
      <c r="H415" s="13">
        <v>111</v>
      </c>
      <c r="I415" s="13">
        <v>4</v>
      </c>
      <c r="J415" s="13">
        <v>115</v>
      </c>
      <c r="K415" s="14">
        <v>6.8700000000000003E-6</v>
      </c>
    </row>
    <row r="416" spans="1:11" ht="44" customHeight="1" x14ac:dyDescent="0.15">
      <c r="A416" s="9">
        <v>5206</v>
      </c>
      <c r="B416" s="10" t="s">
        <v>1145</v>
      </c>
      <c r="C416" s="11" t="s">
        <v>1146</v>
      </c>
      <c r="D416" s="11" t="s">
        <v>113</v>
      </c>
      <c r="E416" s="13">
        <v>180</v>
      </c>
      <c r="F416" s="13">
        <v>90</v>
      </c>
      <c r="G416" s="7">
        <f t="shared" si="6"/>
        <v>0</v>
      </c>
      <c r="H416" s="13">
        <v>108</v>
      </c>
      <c r="I416" s="13">
        <v>4</v>
      </c>
      <c r="J416" s="13">
        <v>112</v>
      </c>
      <c r="K416" s="14">
        <v>6.72E-6</v>
      </c>
    </row>
    <row r="417" spans="1:11" ht="80" customHeight="1" x14ac:dyDescent="0.15">
      <c r="A417" s="9">
        <v>994</v>
      </c>
      <c r="B417" s="10" t="s">
        <v>1147</v>
      </c>
      <c r="C417" s="11" t="s">
        <v>1148</v>
      </c>
      <c r="D417" s="11" t="s">
        <v>1149</v>
      </c>
      <c r="E417" s="12"/>
      <c r="F417" s="13">
        <v>11</v>
      </c>
      <c r="G417" s="7">
        <f t="shared" si="6"/>
        <v>0</v>
      </c>
      <c r="H417" s="13">
        <v>0</v>
      </c>
      <c r="I417" s="13">
        <v>1</v>
      </c>
      <c r="J417" s="13">
        <v>1</v>
      </c>
      <c r="K417" s="13">
        <v>0</v>
      </c>
    </row>
    <row r="418" spans="1:11" ht="56" customHeight="1" x14ac:dyDescent="0.15">
      <c r="A418" s="9">
        <v>3995</v>
      </c>
      <c r="B418" s="10" t="s">
        <v>1150</v>
      </c>
      <c r="C418" s="11" t="s">
        <v>1151</v>
      </c>
      <c r="D418" s="11" t="s">
        <v>1152</v>
      </c>
      <c r="E418" s="12"/>
      <c r="F418" s="13">
        <v>96</v>
      </c>
      <c r="G418" s="7">
        <f t="shared" si="6"/>
        <v>0</v>
      </c>
      <c r="H418" s="13">
        <v>0</v>
      </c>
      <c r="I418" s="13">
        <v>1</v>
      </c>
      <c r="J418" s="13">
        <v>1</v>
      </c>
      <c r="K418" s="13">
        <v>0</v>
      </c>
    </row>
    <row r="419" spans="1:11" ht="80" customHeight="1" x14ac:dyDescent="0.15">
      <c r="A419" s="9">
        <v>1074</v>
      </c>
      <c r="B419" s="10" t="s">
        <v>1153</v>
      </c>
      <c r="C419" s="11" t="s">
        <v>1154</v>
      </c>
      <c r="D419" s="11" t="s">
        <v>208</v>
      </c>
      <c r="E419" s="12"/>
      <c r="F419" s="13">
        <v>50</v>
      </c>
      <c r="G419" s="7">
        <f t="shared" si="6"/>
        <v>0</v>
      </c>
      <c r="H419" s="13">
        <v>0</v>
      </c>
      <c r="I419" s="13">
        <v>1</v>
      </c>
      <c r="J419" s="13">
        <v>1</v>
      </c>
      <c r="K419" s="13">
        <v>0</v>
      </c>
    </row>
    <row r="420" spans="1:11" ht="56" customHeight="1" x14ac:dyDescent="0.15">
      <c r="A420" s="9">
        <v>5380</v>
      </c>
      <c r="B420" s="10" t="s">
        <v>1155</v>
      </c>
      <c r="C420" s="11" t="s">
        <v>1156</v>
      </c>
      <c r="D420" s="11" t="s">
        <v>1157</v>
      </c>
      <c r="E420" s="12"/>
      <c r="F420" s="13">
        <v>7</v>
      </c>
      <c r="G420" s="7">
        <f t="shared" si="6"/>
        <v>0</v>
      </c>
      <c r="H420" s="13">
        <v>68</v>
      </c>
      <c r="I420" s="13">
        <v>6</v>
      </c>
      <c r="J420" s="13">
        <v>74</v>
      </c>
      <c r="K420" s="14">
        <v>5.3800000000000002E-6</v>
      </c>
    </row>
    <row r="421" spans="1:11" ht="68" customHeight="1" x14ac:dyDescent="0.15">
      <c r="A421" s="9">
        <v>5546</v>
      </c>
      <c r="B421" s="10" t="s">
        <v>1158</v>
      </c>
      <c r="C421" s="11" t="s">
        <v>1159</v>
      </c>
      <c r="D421" s="11" t="s">
        <v>1160</v>
      </c>
      <c r="E421" s="12"/>
      <c r="F421" s="13">
        <v>130</v>
      </c>
      <c r="G421" s="7">
        <f t="shared" si="6"/>
        <v>0</v>
      </c>
      <c r="H421" s="13">
        <v>0</v>
      </c>
      <c r="I421" s="13">
        <v>1</v>
      </c>
      <c r="J421" s="13">
        <v>1</v>
      </c>
      <c r="K421" s="13">
        <v>0</v>
      </c>
    </row>
    <row r="422" spans="1:11" ht="56" customHeight="1" x14ac:dyDescent="0.15">
      <c r="A422" s="9">
        <v>3790</v>
      </c>
      <c r="B422" s="10" t="s">
        <v>1161</v>
      </c>
      <c r="C422" s="11" t="s">
        <v>1162</v>
      </c>
      <c r="D422" s="11" t="s">
        <v>1163</v>
      </c>
      <c r="E422" s="12"/>
      <c r="F422" s="13">
        <v>100</v>
      </c>
      <c r="G422" s="7">
        <f t="shared" si="6"/>
        <v>0</v>
      </c>
      <c r="H422" s="13">
        <v>0</v>
      </c>
      <c r="I422" s="13">
        <v>1</v>
      </c>
      <c r="J422" s="13">
        <v>1</v>
      </c>
      <c r="K422" s="13">
        <v>0</v>
      </c>
    </row>
    <row r="423" spans="1:11" ht="56" customHeight="1" x14ac:dyDescent="0.15">
      <c r="A423" s="9">
        <v>4019</v>
      </c>
      <c r="B423" s="10" t="s">
        <v>1164</v>
      </c>
      <c r="C423" s="11" t="s">
        <v>1165</v>
      </c>
      <c r="D423" s="11" t="s">
        <v>1166</v>
      </c>
      <c r="E423" s="12"/>
      <c r="F423" s="13">
        <v>10</v>
      </c>
      <c r="G423" s="7">
        <f t="shared" si="6"/>
        <v>0</v>
      </c>
      <c r="H423" s="13">
        <v>0</v>
      </c>
      <c r="I423" s="13">
        <v>1</v>
      </c>
      <c r="J423" s="13">
        <v>1</v>
      </c>
      <c r="K423" s="13">
        <v>0</v>
      </c>
    </row>
    <row r="424" spans="1:11" ht="68" customHeight="1" x14ac:dyDescent="0.15">
      <c r="A424" s="9">
        <v>2614</v>
      </c>
      <c r="B424" s="10" t="s">
        <v>1167</v>
      </c>
      <c r="C424" s="11" t="s">
        <v>1168</v>
      </c>
      <c r="D424" s="11" t="s">
        <v>1169</v>
      </c>
      <c r="E424" s="12"/>
      <c r="F424" s="13">
        <v>3</v>
      </c>
      <c r="G424" s="7">
        <f t="shared" si="6"/>
        <v>0</v>
      </c>
      <c r="H424" s="13">
        <v>0</v>
      </c>
      <c r="I424" s="13">
        <v>1</v>
      </c>
      <c r="J424" s="13">
        <v>1</v>
      </c>
      <c r="K424" s="13">
        <v>0</v>
      </c>
    </row>
    <row r="425" spans="1:11" ht="56" customHeight="1" x14ac:dyDescent="0.15">
      <c r="A425" s="9">
        <v>2245</v>
      </c>
      <c r="B425" s="10" t="s">
        <v>1170</v>
      </c>
      <c r="C425" s="11" t="s">
        <v>1171</v>
      </c>
      <c r="D425" s="11" t="s">
        <v>804</v>
      </c>
      <c r="E425" s="13">
        <v>105</v>
      </c>
      <c r="F425" s="13">
        <v>148</v>
      </c>
      <c r="G425" s="7">
        <f t="shared" si="6"/>
        <v>0</v>
      </c>
      <c r="H425" s="13">
        <v>84</v>
      </c>
      <c r="I425" s="13">
        <v>4</v>
      </c>
      <c r="J425" s="13">
        <v>88</v>
      </c>
      <c r="K425" s="14">
        <v>5.5199999999999997E-6</v>
      </c>
    </row>
    <row r="426" spans="1:11" ht="44" customHeight="1" x14ac:dyDescent="0.15">
      <c r="A426" s="9">
        <v>5792</v>
      </c>
      <c r="B426" s="10" t="s">
        <v>1172</v>
      </c>
      <c r="C426" s="11" t="s">
        <v>1173</v>
      </c>
      <c r="D426" s="11" t="s">
        <v>1174</v>
      </c>
      <c r="E426" s="12"/>
      <c r="F426" s="13">
        <v>22</v>
      </c>
      <c r="G426" s="7">
        <f t="shared" si="6"/>
        <v>0</v>
      </c>
      <c r="H426" s="13">
        <v>0</v>
      </c>
      <c r="I426" s="13">
        <v>1</v>
      </c>
      <c r="J426" s="13">
        <v>1</v>
      </c>
      <c r="K426" s="13">
        <v>0</v>
      </c>
    </row>
    <row r="427" spans="1:11" ht="68" customHeight="1" x14ac:dyDescent="0.15">
      <c r="A427" s="9">
        <v>3765</v>
      </c>
      <c r="B427" s="10" t="s">
        <v>1175</v>
      </c>
      <c r="C427" s="11" t="s">
        <v>1176</v>
      </c>
      <c r="D427" s="11" t="s">
        <v>1177</v>
      </c>
      <c r="E427" s="12"/>
      <c r="F427" s="13">
        <v>110</v>
      </c>
      <c r="G427" s="7">
        <f t="shared" si="6"/>
        <v>0</v>
      </c>
      <c r="H427" s="13">
        <v>0</v>
      </c>
      <c r="I427" s="13">
        <v>1</v>
      </c>
      <c r="J427" s="13">
        <v>1</v>
      </c>
      <c r="K427" s="13">
        <v>0</v>
      </c>
    </row>
    <row r="428" spans="1:11" ht="44" customHeight="1" x14ac:dyDescent="0.15">
      <c r="A428" s="9">
        <v>5840</v>
      </c>
      <c r="B428" s="10" t="s">
        <v>1178</v>
      </c>
      <c r="C428" s="11" t="s">
        <v>1179</v>
      </c>
      <c r="D428" s="11" t="s">
        <v>1180</v>
      </c>
      <c r="E428" s="13">
        <v>800</v>
      </c>
      <c r="F428" s="13">
        <v>800</v>
      </c>
      <c r="G428" s="7">
        <f t="shared" si="6"/>
        <v>1</v>
      </c>
      <c r="H428" s="13">
        <v>74</v>
      </c>
      <c r="I428" s="13">
        <v>4</v>
      </c>
      <c r="J428" s="13">
        <v>78</v>
      </c>
      <c r="K428" s="14">
        <v>5.0200000000000002E-6</v>
      </c>
    </row>
    <row r="429" spans="1:11" ht="44" customHeight="1" x14ac:dyDescent="0.15">
      <c r="A429" s="9">
        <v>3164</v>
      </c>
      <c r="B429" s="10" t="s">
        <v>1181</v>
      </c>
      <c r="C429" s="11" t="s">
        <v>1182</v>
      </c>
      <c r="D429" s="11" t="s">
        <v>329</v>
      </c>
      <c r="E429" s="13">
        <v>600</v>
      </c>
      <c r="F429" s="13">
        <v>450</v>
      </c>
      <c r="G429" s="7">
        <f t="shared" si="6"/>
        <v>0</v>
      </c>
      <c r="H429" s="13">
        <v>92</v>
      </c>
      <c r="I429" s="13">
        <v>4</v>
      </c>
      <c r="J429" s="13">
        <v>96</v>
      </c>
      <c r="K429" s="15">
        <v>6.0228000000000002E-6</v>
      </c>
    </row>
    <row r="430" spans="1:11" ht="80" customHeight="1" x14ac:dyDescent="0.15">
      <c r="A430" s="9">
        <v>1566</v>
      </c>
      <c r="B430" s="10" t="s">
        <v>1183</v>
      </c>
      <c r="C430" s="11" t="s">
        <v>1184</v>
      </c>
      <c r="D430" s="11" t="s">
        <v>1185</v>
      </c>
      <c r="E430" s="12"/>
      <c r="F430" s="13">
        <v>300</v>
      </c>
      <c r="G430" s="7">
        <f t="shared" si="6"/>
        <v>0</v>
      </c>
      <c r="H430" s="13">
        <v>0</v>
      </c>
      <c r="I430" s="13">
        <v>1</v>
      </c>
      <c r="J430" s="13">
        <v>1</v>
      </c>
      <c r="K430" s="13">
        <v>0</v>
      </c>
    </row>
    <row r="431" spans="1:11" ht="44" customHeight="1" x14ac:dyDescent="0.15">
      <c r="A431" s="9">
        <v>3121</v>
      </c>
      <c r="B431" s="10" t="s">
        <v>1186</v>
      </c>
      <c r="C431" s="11" t="s">
        <v>1187</v>
      </c>
      <c r="D431" s="11" t="s">
        <v>75</v>
      </c>
      <c r="E431" s="13">
        <v>4</v>
      </c>
      <c r="F431" s="13">
        <v>5</v>
      </c>
      <c r="G431" s="7">
        <f t="shared" si="6"/>
        <v>0</v>
      </c>
      <c r="H431" s="13">
        <v>62</v>
      </c>
      <c r="I431" s="13">
        <v>4</v>
      </c>
      <c r="J431" s="13">
        <v>66</v>
      </c>
      <c r="K431" s="14">
        <v>4.42E-6</v>
      </c>
    </row>
    <row r="432" spans="1:11" ht="80" customHeight="1" x14ac:dyDescent="0.15">
      <c r="A432" s="9">
        <v>1832</v>
      </c>
      <c r="B432" s="10" t="s">
        <v>1188</v>
      </c>
      <c r="C432" s="11" t="s">
        <v>1189</v>
      </c>
      <c r="D432" s="11" t="s">
        <v>1190</v>
      </c>
      <c r="E432" s="13">
        <v>65</v>
      </c>
      <c r="F432" s="13">
        <v>30</v>
      </c>
      <c r="G432" s="7">
        <f t="shared" si="6"/>
        <v>0</v>
      </c>
      <c r="H432" s="13">
        <v>101</v>
      </c>
      <c r="I432" s="13">
        <v>4</v>
      </c>
      <c r="J432" s="13">
        <v>105</v>
      </c>
      <c r="K432" s="14">
        <v>6.37E-6</v>
      </c>
    </row>
    <row r="433" spans="1:11" ht="176" customHeight="1" x14ac:dyDescent="0.15">
      <c r="A433" s="9">
        <v>2431</v>
      </c>
      <c r="B433" s="10" t="s">
        <v>1191</v>
      </c>
      <c r="C433" s="11" t="s">
        <v>1192</v>
      </c>
      <c r="D433" s="20" t="s">
        <v>1193</v>
      </c>
      <c r="E433" s="12"/>
      <c r="F433" s="13">
        <v>14</v>
      </c>
      <c r="G433" s="7">
        <f t="shared" si="6"/>
        <v>0</v>
      </c>
      <c r="H433" s="13">
        <v>0</v>
      </c>
      <c r="I433" s="13">
        <v>1</v>
      </c>
      <c r="J433" s="13">
        <v>1</v>
      </c>
      <c r="K433" s="13">
        <v>0</v>
      </c>
    </row>
    <row r="434" spans="1:11" ht="80" customHeight="1" x14ac:dyDescent="0.15">
      <c r="A434" s="9">
        <v>2110</v>
      </c>
      <c r="B434" s="10" t="s">
        <v>1194</v>
      </c>
      <c r="C434" s="11" t="s">
        <v>1195</v>
      </c>
      <c r="D434" s="11" t="s">
        <v>154</v>
      </c>
      <c r="E434" s="13">
        <v>20</v>
      </c>
      <c r="F434" s="13">
        <v>8</v>
      </c>
      <c r="G434" s="7">
        <f t="shared" si="6"/>
        <v>0</v>
      </c>
      <c r="H434" s="13">
        <v>98</v>
      </c>
      <c r="I434" s="13">
        <v>4</v>
      </c>
      <c r="J434" s="13">
        <v>102</v>
      </c>
      <c r="K434" s="14">
        <v>6.2199999999999997E-6</v>
      </c>
    </row>
    <row r="435" spans="1:11" ht="68" customHeight="1" x14ac:dyDescent="0.15">
      <c r="A435" s="9">
        <v>5485</v>
      </c>
      <c r="B435" s="10" t="s">
        <v>1196</v>
      </c>
      <c r="C435" s="11" t="s">
        <v>1197</v>
      </c>
      <c r="D435" s="11" t="s">
        <v>1198</v>
      </c>
      <c r="E435" s="13">
        <v>700</v>
      </c>
      <c r="F435" s="13">
        <v>13000</v>
      </c>
      <c r="G435" s="7">
        <f t="shared" si="6"/>
        <v>0</v>
      </c>
      <c r="H435" s="13">
        <v>101</v>
      </c>
      <c r="I435" s="13">
        <v>4</v>
      </c>
      <c r="J435" s="13">
        <v>105</v>
      </c>
      <c r="K435" s="14">
        <v>6.37E-6</v>
      </c>
    </row>
    <row r="436" spans="1:11" ht="68" customHeight="1" x14ac:dyDescent="0.15">
      <c r="A436" s="9">
        <v>6690</v>
      </c>
      <c r="B436" s="10" t="s">
        <v>1199</v>
      </c>
      <c r="C436" s="11" t="s">
        <v>1200</v>
      </c>
      <c r="D436" s="11" t="s">
        <v>1201</v>
      </c>
      <c r="E436" s="12"/>
      <c r="F436" s="13">
        <v>25</v>
      </c>
      <c r="G436" s="7">
        <f t="shared" si="6"/>
        <v>0</v>
      </c>
      <c r="H436" s="13">
        <v>0</v>
      </c>
      <c r="I436" s="13">
        <v>1</v>
      </c>
      <c r="J436" s="13">
        <v>1</v>
      </c>
      <c r="K436" s="13">
        <v>0</v>
      </c>
    </row>
    <row r="437" spans="1:11" ht="44" customHeight="1" x14ac:dyDescent="0.15">
      <c r="A437" s="9">
        <v>7366</v>
      </c>
      <c r="B437" s="10" t="s">
        <v>1202</v>
      </c>
      <c r="C437" s="11" t="s">
        <v>1203</v>
      </c>
      <c r="D437" s="11" t="s">
        <v>1204</v>
      </c>
      <c r="E437" s="12"/>
      <c r="F437" s="13">
        <v>240</v>
      </c>
      <c r="G437" s="7">
        <f t="shared" si="6"/>
        <v>0</v>
      </c>
      <c r="H437" s="13">
        <v>0</v>
      </c>
      <c r="I437" s="13">
        <v>1</v>
      </c>
      <c r="J437" s="13">
        <v>1</v>
      </c>
      <c r="K437" s="13">
        <v>0</v>
      </c>
    </row>
    <row r="438" spans="1:11" ht="116" customHeight="1" x14ac:dyDescent="0.15">
      <c r="A438" s="9">
        <v>6282</v>
      </c>
      <c r="B438" s="10" t="s">
        <v>1205</v>
      </c>
      <c r="C438" s="11" t="s">
        <v>1206</v>
      </c>
      <c r="D438" s="11" t="s">
        <v>1207</v>
      </c>
      <c r="E438" s="12"/>
      <c r="F438" s="13">
        <v>21</v>
      </c>
      <c r="G438" s="7">
        <f t="shared" si="6"/>
        <v>0</v>
      </c>
      <c r="H438" s="13">
        <v>0</v>
      </c>
      <c r="I438" s="13">
        <v>1</v>
      </c>
      <c r="J438" s="13">
        <v>1</v>
      </c>
      <c r="K438" s="13">
        <v>0</v>
      </c>
    </row>
    <row r="439" spans="1:11" ht="128" customHeight="1" x14ac:dyDescent="0.15">
      <c r="A439" s="9">
        <v>5317</v>
      </c>
      <c r="B439" s="10" t="s">
        <v>1208</v>
      </c>
      <c r="C439" s="11" t="s">
        <v>1209</v>
      </c>
      <c r="D439" s="11" t="s">
        <v>1210</v>
      </c>
      <c r="E439" s="12"/>
      <c r="F439" s="13">
        <v>48</v>
      </c>
      <c r="G439" s="7">
        <f t="shared" si="6"/>
        <v>0</v>
      </c>
      <c r="H439" s="13">
        <v>0</v>
      </c>
      <c r="I439" s="13">
        <v>1</v>
      </c>
      <c r="J439" s="13">
        <v>1</v>
      </c>
      <c r="K439" s="13">
        <v>0</v>
      </c>
    </row>
    <row r="440" spans="1:11" ht="68" customHeight="1" x14ac:dyDescent="0.15">
      <c r="A440" s="9">
        <v>6406</v>
      </c>
      <c r="B440" s="10" t="s">
        <v>1211</v>
      </c>
      <c r="C440" s="11" t="s">
        <v>1212</v>
      </c>
      <c r="D440" s="11" t="s">
        <v>1213</v>
      </c>
      <c r="E440" s="12"/>
      <c r="F440" s="13">
        <v>35</v>
      </c>
      <c r="G440" s="7">
        <f t="shared" si="6"/>
        <v>0</v>
      </c>
      <c r="H440" s="13">
        <v>0</v>
      </c>
      <c r="I440" s="13">
        <v>1</v>
      </c>
      <c r="J440" s="13">
        <v>1</v>
      </c>
      <c r="K440" s="13">
        <v>0</v>
      </c>
    </row>
    <row r="441" spans="1:11" ht="56" customHeight="1" x14ac:dyDescent="0.15">
      <c r="A441" s="9">
        <v>5950</v>
      </c>
      <c r="B441" s="10" t="s">
        <v>1214</v>
      </c>
      <c r="C441" s="11" t="s">
        <v>1215</v>
      </c>
      <c r="D441" s="11" t="s">
        <v>290</v>
      </c>
      <c r="E441" s="13">
        <v>24</v>
      </c>
      <c r="F441" s="13">
        <v>14</v>
      </c>
      <c r="G441" s="7">
        <f t="shared" si="6"/>
        <v>0</v>
      </c>
      <c r="H441" s="13">
        <v>92</v>
      </c>
      <c r="I441" s="13">
        <v>4</v>
      </c>
      <c r="J441" s="13">
        <v>96</v>
      </c>
      <c r="K441" s="14">
        <v>5.9200000000000001E-6</v>
      </c>
    </row>
    <row r="442" spans="1:11" ht="68" customHeight="1" x14ac:dyDescent="0.15">
      <c r="A442" s="9">
        <v>1883</v>
      </c>
      <c r="B442" s="10" t="s">
        <v>1216</v>
      </c>
      <c r="C442" s="11" t="s">
        <v>1217</v>
      </c>
      <c r="D442" s="11" t="s">
        <v>1218</v>
      </c>
      <c r="E442" s="12"/>
      <c r="F442" s="13">
        <v>25</v>
      </c>
      <c r="G442" s="7">
        <f t="shared" si="6"/>
        <v>0</v>
      </c>
      <c r="H442" s="13">
        <v>0</v>
      </c>
      <c r="I442" s="13">
        <v>1</v>
      </c>
      <c r="J442" s="13">
        <v>1</v>
      </c>
      <c r="K442" s="13">
        <v>0</v>
      </c>
    </row>
    <row r="443" spans="1:11" ht="68" customHeight="1" x14ac:dyDescent="0.15">
      <c r="A443" s="9">
        <v>3491</v>
      </c>
      <c r="B443" s="10" t="s">
        <v>1219</v>
      </c>
      <c r="C443" s="11" t="s">
        <v>1220</v>
      </c>
      <c r="D443" s="11" t="s">
        <v>290</v>
      </c>
      <c r="E443" s="13">
        <v>24</v>
      </c>
      <c r="F443" s="13">
        <v>36</v>
      </c>
      <c r="G443" s="7">
        <f t="shared" si="6"/>
        <v>0</v>
      </c>
      <c r="H443" s="13">
        <v>100</v>
      </c>
      <c r="I443" s="13">
        <v>4</v>
      </c>
      <c r="J443" s="13">
        <v>104</v>
      </c>
      <c r="K443" s="14">
        <v>6.3199999999999996E-6</v>
      </c>
    </row>
    <row r="444" spans="1:11" ht="68" customHeight="1" x14ac:dyDescent="0.15">
      <c r="A444" s="9">
        <v>2815</v>
      </c>
      <c r="B444" s="10" t="s">
        <v>1221</v>
      </c>
      <c r="C444" s="11" t="s">
        <v>1222</v>
      </c>
      <c r="D444" s="11" t="s">
        <v>1223</v>
      </c>
      <c r="E444" s="12"/>
      <c r="F444" s="13">
        <v>30</v>
      </c>
      <c r="G444" s="7">
        <f t="shared" si="6"/>
        <v>0</v>
      </c>
      <c r="H444" s="13">
        <v>0</v>
      </c>
      <c r="I444" s="13">
        <v>1</v>
      </c>
      <c r="J444" s="13">
        <v>1</v>
      </c>
      <c r="K444" s="13">
        <v>0</v>
      </c>
    </row>
    <row r="445" spans="1:11" ht="68" customHeight="1" x14ac:dyDescent="0.15">
      <c r="A445" s="9">
        <v>7196</v>
      </c>
      <c r="B445" s="10" t="s">
        <v>1224</v>
      </c>
      <c r="C445" s="11" t="s">
        <v>1225</v>
      </c>
      <c r="D445" s="11" t="s">
        <v>81</v>
      </c>
      <c r="E445" s="13">
        <v>6</v>
      </c>
      <c r="F445" s="13">
        <v>3</v>
      </c>
      <c r="G445" s="7">
        <f t="shared" si="6"/>
        <v>0</v>
      </c>
      <c r="H445" s="13">
        <v>102</v>
      </c>
      <c r="I445" s="13">
        <v>4</v>
      </c>
      <c r="J445" s="13">
        <v>106</v>
      </c>
      <c r="K445" s="14">
        <v>6.4200000000000004E-6</v>
      </c>
    </row>
    <row r="446" spans="1:11" ht="68" customHeight="1" x14ac:dyDescent="0.15">
      <c r="A446" s="9">
        <v>50</v>
      </c>
      <c r="B446" s="10" t="s">
        <v>1226</v>
      </c>
      <c r="C446" s="11" t="s">
        <v>1227</v>
      </c>
      <c r="D446" s="11" t="s">
        <v>40</v>
      </c>
      <c r="E446" s="12"/>
      <c r="F446" s="13">
        <v>5</v>
      </c>
      <c r="G446" s="7">
        <f t="shared" si="6"/>
        <v>0</v>
      </c>
      <c r="H446" s="13">
        <v>0</v>
      </c>
      <c r="I446" s="13">
        <v>1</v>
      </c>
      <c r="J446" s="13">
        <v>1</v>
      </c>
      <c r="K446" s="13">
        <v>0</v>
      </c>
    </row>
    <row r="447" spans="1:11" ht="44" customHeight="1" x14ac:dyDescent="0.15">
      <c r="A447" s="9">
        <v>6418</v>
      </c>
      <c r="B447" s="10" t="s">
        <v>1228</v>
      </c>
      <c r="C447" s="11" t="s">
        <v>1229</v>
      </c>
      <c r="D447" s="11" t="s">
        <v>1230</v>
      </c>
      <c r="E447" s="12"/>
      <c r="F447" s="13">
        <v>6</v>
      </c>
      <c r="G447" s="7">
        <f t="shared" si="6"/>
        <v>0</v>
      </c>
      <c r="H447" s="13">
        <v>0</v>
      </c>
      <c r="I447" s="13">
        <v>1</v>
      </c>
      <c r="J447" s="13">
        <v>1</v>
      </c>
      <c r="K447" s="13">
        <v>0</v>
      </c>
    </row>
    <row r="448" spans="1:11" ht="68" customHeight="1" x14ac:dyDescent="0.15">
      <c r="A448" s="9">
        <v>4034</v>
      </c>
      <c r="B448" s="10" t="s">
        <v>1231</v>
      </c>
      <c r="C448" s="11" t="s">
        <v>1232</v>
      </c>
      <c r="D448" s="11" t="s">
        <v>186</v>
      </c>
      <c r="E448" s="13">
        <v>32</v>
      </c>
      <c r="F448" s="13">
        <v>24</v>
      </c>
      <c r="G448" s="7">
        <f t="shared" si="6"/>
        <v>0</v>
      </c>
      <c r="H448" s="13">
        <v>99</v>
      </c>
      <c r="I448" s="13">
        <v>4</v>
      </c>
      <c r="J448" s="13">
        <v>103</v>
      </c>
      <c r="K448" s="14">
        <v>6.2700000000000001E-6</v>
      </c>
    </row>
    <row r="449" spans="1:11" ht="68" customHeight="1" x14ac:dyDescent="0.15">
      <c r="A449" s="9">
        <v>245</v>
      </c>
      <c r="B449" s="10" t="s">
        <v>1233</v>
      </c>
      <c r="C449" s="11" t="s">
        <v>1234</v>
      </c>
      <c r="D449" s="11" t="s">
        <v>1235</v>
      </c>
      <c r="E449" s="13">
        <v>4320</v>
      </c>
      <c r="F449" s="13">
        <v>2280</v>
      </c>
      <c r="G449" s="7">
        <f t="shared" si="6"/>
        <v>0</v>
      </c>
      <c r="H449" s="13">
        <v>72</v>
      </c>
      <c r="I449" s="13">
        <v>5</v>
      </c>
      <c r="J449" s="13">
        <v>77</v>
      </c>
      <c r="K449" s="14">
        <v>5.2499999999999997E-6</v>
      </c>
    </row>
    <row r="450" spans="1:11" ht="56" customHeight="1" x14ac:dyDescent="0.15">
      <c r="A450" s="9">
        <v>5345</v>
      </c>
      <c r="B450" s="10" t="s">
        <v>1236</v>
      </c>
      <c r="C450" s="11" t="s">
        <v>1237</v>
      </c>
      <c r="D450" s="11" t="s">
        <v>1238</v>
      </c>
      <c r="E450" s="12"/>
      <c r="F450" s="13">
        <v>10</v>
      </c>
      <c r="G450" s="7">
        <f t="shared" si="6"/>
        <v>0</v>
      </c>
      <c r="H450" s="13">
        <v>0</v>
      </c>
      <c r="I450" s="13">
        <v>1</v>
      </c>
      <c r="J450" s="13">
        <v>1</v>
      </c>
      <c r="K450" s="13">
        <v>0</v>
      </c>
    </row>
    <row r="451" spans="1:11" ht="92" customHeight="1" x14ac:dyDescent="0.15">
      <c r="A451" s="9">
        <v>3552</v>
      </c>
      <c r="B451" s="10" t="s">
        <v>1239</v>
      </c>
      <c r="C451" s="11" t="s">
        <v>1240</v>
      </c>
      <c r="D451" s="11" t="s">
        <v>1241</v>
      </c>
      <c r="E451" s="12"/>
      <c r="F451" s="13">
        <v>8640</v>
      </c>
      <c r="G451" s="7">
        <f t="shared" si="6"/>
        <v>0</v>
      </c>
      <c r="H451" s="13">
        <v>0</v>
      </c>
      <c r="I451" s="13">
        <v>1</v>
      </c>
      <c r="J451" s="13">
        <v>1</v>
      </c>
      <c r="K451" s="13">
        <v>0</v>
      </c>
    </row>
    <row r="452" spans="1:11" ht="92" customHeight="1" x14ac:dyDescent="0.15">
      <c r="A452" s="9">
        <v>5389</v>
      </c>
      <c r="B452" s="10" t="s">
        <v>1242</v>
      </c>
      <c r="C452" s="11" t="s">
        <v>1243</v>
      </c>
      <c r="D452" s="11" t="s">
        <v>1244</v>
      </c>
      <c r="E452" s="12"/>
      <c r="F452" s="13">
        <v>640</v>
      </c>
      <c r="G452" s="7">
        <f t="shared" ref="G452:G502" si="7">IF(OR(ISBLANK(E452), ISBLANK(F452)), 0, IF(E452=F452, 1, 0))</f>
        <v>0</v>
      </c>
      <c r="H452" s="13">
        <v>0</v>
      </c>
      <c r="I452" s="13">
        <v>1</v>
      </c>
      <c r="J452" s="13">
        <v>1</v>
      </c>
      <c r="K452" s="13">
        <v>0</v>
      </c>
    </row>
    <row r="453" spans="1:11" ht="68" customHeight="1" x14ac:dyDescent="0.15">
      <c r="A453" s="9">
        <v>4216</v>
      </c>
      <c r="B453" s="10" t="s">
        <v>1245</v>
      </c>
      <c r="C453" s="11" t="s">
        <v>1246</v>
      </c>
      <c r="D453" s="11" t="s">
        <v>1247</v>
      </c>
      <c r="E453" s="12"/>
      <c r="F453" s="13">
        <v>69</v>
      </c>
      <c r="G453" s="7">
        <f t="shared" si="7"/>
        <v>0</v>
      </c>
      <c r="H453" s="13">
        <v>0</v>
      </c>
      <c r="I453" s="13">
        <v>1</v>
      </c>
      <c r="J453" s="13">
        <v>1</v>
      </c>
      <c r="K453" s="13">
        <v>0</v>
      </c>
    </row>
    <row r="454" spans="1:11" ht="56" customHeight="1" x14ac:dyDescent="0.15">
      <c r="A454" s="9">
        <v>3422</v>
      </c>
      <c r="B454" s="10" t="s">
        <v>1248</v>
      </c>
      <c r="C454" s="11" t="s">
        <v>1249</v>
      </c>
      <c r="D454" s="11" t="s">
        <v>1250</v>
      </c>
      <c r="E454" s="13">
        <v>400</v>
      </c>
      <c r="F454" s="13">
        <v>400</v>
      </c>
      <c r="G454" s="7">
        <f t="shared" si="7"/>
        <v>1</v>
      </c>
      <c r="H454" s="13">
        <v>75</v>
      </c>
      <c r="I454" s="13">
        <v>4</v>
      </c>
      <c r="J454" s="13">
        <v>79</v>
      </c>
      <c r="K454" s="14">
        <v>5.0699999999999997E-6</v>
      </c>
    </row>
    <row r="455" spans="1:11" ht="56" customHeight="1" x14ac:dyDescent="0.15">
      <c r="A455" s="9">
        <v>3692</v>
      </c>
      <c r="B455" s="10" t="s">
        <v>1251</v>
      </c>
      <c r="C455" s="11" t="s">
        <v>1252</v>
      </c>
      <c r="D455" s="11" t="s">
        <v>1253</v>
      </c>
      <c r="E455" s="12"/>
      <c r="F455" s="13">
        <v>2</v>
      </c>
      <c r="G455" s="7">
        <f t="shared" si="7"/>
        <v>0</v>
      </c>
      <c r="H455" s="13">
        <v>0</v>
      </c>
      <c r="I455" s="13">
        <v>1</v>
      </c>
      <c r="J455" s="13">
        <v>1</v>
      </c>
      <c r="K455" s="13">
        <v>0</v>
      </c>
    </row>
    <row r="456" spans="1:11" ht="44" customHeight="1" x14ac:dyDescent="0.15">
      <c r="A456" s="9">
        <v>5277</v>
      </c>
      <c r="B456" s="10" t="s">
        <v>1254</v>
      </c>
      <c r="C456" s="11" t="s">
        <v>1255</v>
      </c>
      <c r="D456" s="11" t="s">
        <v>183</v>
      </c>
      <c r="E456" s="13">
        <v>8</v>
      </c>
      <c r="F456" s="13">
        <v>7</v>
      </c>
      <c r="G456" s="7">
        <f t="shared" si="7"/>
        <v>0</v>
      </c>
      <c r="H456" s="13">
        <v>119</v>
      </c>
      <c r="I456" s="13">
        <v>4</v>
      </c>
      <c r="J456" s="13">
        <v>123</v>
      </c>
      <c r="K456" s="15">
        <v>7.3970999999999999E-6</v>
      </c>
    </row>
    <row r="457" spans="1:11" ht="68" customHeight="1" x14ac:dyDescent="0.15">
      <c r="A457" s="9">
        <v>4651</v>
      </c>
      <c r="B457" s="10" t="s">
        <v>1256</v>
      </c>
      <c r="C457" s="11" t="s">
        <v>1257</v>
      </c>
      <c r="D457" s="11" t="s">
        <v>1258</v>
      </c>
      <c r="E457" s="12"/>
      <c r="F457" s="13">
        <v>49</v>
      </c>
      <c r="G457" s="7">
        <f t="shared" si="7"/>
        <v>0</v>
      </c>
      <c r="H457" s="13">
        <v>0</v>
      </c>
      <c r="I457" s="13">
        <v>1</v>
      </c>
      <c r="J457" s="13">
        <v>1</v>
      </c>
      <c r="K457" s="13">
        <v>0</v>
      </c>
    </row>
    <row r="458" spans="1:11" ht="68" customHeight="1" x14ac:dyDescent="0.15">
      <c r="A458" s="9">
        <v>4927</v>
      </c>
      <c r="B458" s="10" t="s">
        <v>1259</v>
      </c>
      <c r="C458" s="11" t="s">
        <v>1260</v>
      </c>
      <c r="D458" s="11" t="s">
        <v>1261</v>
      </c>
      <c r="E458" s="12"/>
      <c r="F458" s="13">
        <v>800</v>
      </c>
      <c r="G458" s="7">
        <f t="shared" si="7"/>
        <v>0</v>
      </c>
      <c r="H458" s="13">
        <v>0</v>
      </c>
      <c r="I458" s="13">
        <v>1</v>
      </c>
      <c r="J458" s="13">
        <v>1</v>
      </c>
      <c r="K458" s="13">
        <v>0</v>
      </c>
    </row>
    <row r="459" spans="1:11" ht="44" customHeight="1" x14ac:dyDescent="0.15">
      <c r="A459" s="9">
        <v>496</v>
      </c>
      <c r="B459" s="10" t="s">
        <v>1262</v>
      </c>
      <c r="C459" s="11" t="s">
        <v>1263</v>
      </c>
      <c r="D459" s="11" t="s">
        <v>1264</v>
      </c>
      <c r="E459" s="12"/>
      <c r="F459" s="13">
        <v>600</v>
      </c>
      <c r="G459" s="7">
        <f t="shared" si="7"/>
        <v>0</v>
      </c>
      <c r="H459" s="13">
        <v>0</v>
      </c>
      <c r="I459" s="13">
        <v>1</v>
      </c>
      <c r="J459" s="13">
        <v>1</v>
      </c>
      <c r="K459" s="13">
        <v>0</v>
      </c>
    </row>
    <row r="460" spans="1:11" ht="56" customHeight="1" x14ac:dyDescent="0.15">
      <c r="A460" s="9">
        <v>4041</v>
      </c>
      <c r="B460" s="10" t="s">
        <v>1265</v>
      </c>
      <c r="C460" s="11" t="s">
        <v>1266</v>
      </c>
      <c r="D460" s="11" t="s">
        <v>193</v>
      </c>
      <c r="E460" s="13">
        <v>3</v>
      </c>
      <c r="F460" s="13">
        <v>2</v>
      </c>
      <c r="G460" s="7">
        <f t="shared" si="7"/>
        <v>0</v>
      </c>
      <c r="H460" s="13">
        <v>72</v>
      </c>
      <c r="I460" s="13">
        <v>4</v>
      </c>
      <c r="J460" s="13">
        <v>76</v>
      </c>
      <c r="K460" s="14">
        <v>4.9200000000000003E-6</v>
      </c>
    </row>
    <row r="461" spans="1:11" ht="56" customHeight="1" x14ac:dyDescent="0.15">
      <c r="A461" s="9">
        <v>2673</v>
      </c>
      <c r="B461" s="10" t="s">
        <v>1267</v>
      </c>
      <c r="C461" s="11" t="s">
        <v>1268</v>
      </c>
      <c r="D461" s="11" t="s">
        <v>1269</v>
      </c>
      <c r="E461" s="12"/>
      <c r="F461" s="13">
        <v>70</v>
      </c>
      <c r="G461" s="7">
        <f t="shared" si="7"/>
        <v>0</v>
      </c>
      <c r="H461" s="13">
        <v>0</v>
      </c>
      <c r="I461" s="13">
        <v>1</v>
      </c>
      <c r="J461" s="13">
        <v>1</v>
      </c>
      <c r="K461" s="13">
        <v>0</v>
      </c>
    </row>
    <row r="462" spans="1:11" ht="44" customHeight="1" x14ac:dyDescent="0.15">
      <c r="A462" s="9">
        <v>5825</v>
      </c>
      <c r="B462" s="10" t="s">
        <v>1270</v>
      </c>
      <c r="C462" s="11" t="s">
        <v>1271</v>
      </c>
      <c r="D462" s="11" t="s">
        <v>1272</v>
      </c>
      <c r="E462" s="13">
        <v>160</v>
      </c>
      <c r="F462" s="13">
        <v>20</v>
      </c>
      <c r="G462" s="7">
        <f t="shared" si="7"/>
        <v>0</v>
      </c>
      <c r="H462" s="13">
        <v>96</v>
      </c>
      <c r="I462" s="13">
        <v>4</v>
      </c>
      <c r="J462" s="13">
        <v>100</v>
      </c>
      <c r="K462" s="14">
        <v>6.1199999999999999E-6</v>
      </c>
    </row>
    <row r="463" spans="1:11" ht="92" customHeight="1" x14ac:dyDescent="0.15">
      <c r="A463" s="9">
        <v>6006</v>
      </c>
      <c r="B463" s="10" t="s">
        <v>1273</v>
      </c>
      <c r="C463" s="11" t="s">
        <v>1274</v>
      </c>
      <c r="D463" s="11" t="s">
        <v>1275</v>
      </c>
      <c r="E463" s="12"/>
      <c r="F463" s="13">
        <v>90</v>
      </c>
      <c r="G463" s="7">
        <f t="shared" si="7"/>
        <v>0</v>
      </c>
      <c r="H463" s="13">
        <v>0</v>
      </c>
      <c r="I463" s="13">
        <v>1</v>
      </c>
      <c r="J463" s="13">
        <v>1</v>
      </c>
      <c r="K463" s="13">
        <v>0</v>
      </c>
    </row>
    <row r="464" spans="1:11" ht="68" customHeight="1" x14ac:dyDescent="0.15">
      <c r="A464" s="9">
        <v>6050</v>
      </c>
      <c r="B464" s="10" t="s">
        <v>1276</v>
      </c>
      <c r="C464" s="11" t="s">
        <v>1277</v>
      </c>
      <c r="D464" s="11" t="s">
        <v>174</v>
      </c>
      <c r="E464" s="13">
        <v>7</v>
      </c>
      <c r="F464" s="13">
        <v>14</v>
      </c>
      <c r="G464" s="7">
        <f t="shared" si="7"/>
        <v>0</v>
      </c>
      <c r="H464" s="13">
        <v>61</v>
      </c>
      <c r="I464" s="13">
        <v>4</v>
      </c>
      <c r="J464" s="13">
        <v>65</v>
      </c>
      <c r="K464" s="14">
        <v>4.3699999999999997E-6</v>
      </c>
    </row>
    <row r="465" spans="1:11" ht="68" customHeight="1" x14ac:dyDescent="0.15">
      <c r="A465" s="9">
        <v>321</v>
      </c>
      <c r="B465" s="10" t="s">
        <v>1278</v>
      </c>
      <c r="C465" s="11" t="s">
        <v>1279</v>
      </c>
      <c r="D465" s="11" t="s">
        <v>1280</v>
      </c>
      <c r="E465" s="13">
        <v>1600</v>
      </c>
      <c r="F465" s="13">
        <v>15400</v>
      </c>
      <c r="G465" s="7">
        <f t="shared" si="7"/>
        <v>0</v>
      </c>
      <c r="H465" s="13">
        <v>72</v>
      </c>
      <c r="I465" s="13">
        <v>5</v>
      </c>
      <c r="J465" s="13">
        <v>77</v>
      </c>
      <c r="K465" s="14">
        <v>5.2499999999999997E-6</v>
      </c>
    </row>
    <row r="466" spans="1:11" ht="68" customHeight="1" x14ac:dyDescent="0.15">
      <c r="A466" s="9">
        <v>4201</v>
      </c>
      <c r="B466" s="10" t="s">
        <v>1281</v>
      </c>
      <c r="C466" s="11" t="s">
        <v>1282</v>
      </c>
      <c r="D466" s="11" t="s">
        <v>1283</v>
      </c>
      <c r="E466" s="12"/>
      <c r="F466" s="13">
        <v>30</v>
      </c>
      <c r="G466" s="7">
        <f t="shared" si="7"/>
        <v>0</v>
      </c>
      <c r="H466" s="13">
        <v>0</v>
      </c>
      <c r="I466" s="13">
        <v>1</v>
      </c>
      <c r="J466" s="13">
        <v>1</v>
      </c>
      <c r="K466" s="13">
        <v>0</v>
      </c>
    </row>
    <row r="467" spans="1:11" ht="68" customHeight="1" x14ac:dyDescent="0.15">
      <c r="A467" s="9">
        <v>1370</v>
      </c>
      <c r="B467" s="10" t="s">
        <v>1284</v>
      </c>
      <c r="C467" s="11" t="s">
        <v>1285</v>
      </c>
      <c r="D467" s="11" t="s">
        <v>1286</v>
      </c>
      <c r="E467" s="12"/>
      <c r="F467" s="13">
        <v>2</v>
      </c>
      <c r="G467" s="7">
        <f t="shared" si="7"/>
        <v>0</v>
      </c>
      <c r="H467" s="13">
        <v>0</v>
      </c>
      <c r="I467" s="13">
        <v>1</v>
      </c>
      <c r="J467" s="13">
        <v>1</v>
      </c>
      <c r="K467" s="13">
        <v>0</v>
      </c>
    </row>
    <row r="468" spans="1:11" ht="92" customHeight="1" x14ac:dyDescent="0.15">
      <c r="A468" s="9">
        <v>5576</v>
      </c>
      <c r="B468" s="10" t="s">
        <v>1287</v>
      </c>
      <c r="C468" s="11" t="s">
        <v>1288</v>
      </c>
      <c r="D468" s="11" t="s">
        <v>1289</v>
      </c>
      <c r="E468" s="12"/>
      <c r="F468" s="13">
        <v>111</v>
      </c>
      <c r="G468" s="7">
        <f t="shared" si="7"/>
        <v>0</v>
      </c>
      <c r="H468" s="13">
        <v>0</v>
      </c>
      <c r="I468" s="13">
        <v>1</v>
      </c>
      <c r="J468" s="13">
        <v>1</v>
      </c>
      <c r="K468" s="13">
        <v>0</v>
      </c>
    </row>
    <row r="469" spans="1:11" ht="44" customHeight="1" x14ac:dyDescent="0.15">
      <c r="A469" s="9">
        <v>5221</v>
      </c>
      <c r="B469" s="10" t="s">
        <v>1290</v>
      </c>
      <c r="C469" s="11" t="s">
        <v>1291</v>
      </c>
      <c r="D469" s="11" t="s">
        <v>1292</v>
      </c>
      <c r="E469" s="13">
        <v>55</v>
      </c>
      <c r="F469" s="13">
        <v>10</v>
      </c>
      <c r="G469" s="7">
        <f t="shared" si="7"/>
        <v>0</v>
      </c>
      <c r="H469" s="13">
        <v>73</v>
      </c>
      <c r="I469" s="13">
        <v>4</v>
      </c>
      <c r="J469" s="13">
        <v>77</v>
      </c>
      <c r="K469" s="14">
        <v>4.9699999999999998E-6</v>
      </c>
    </row>
    <row r="470" spans="1:11" ht="56" customHeight="1" x14ac:dyDescent="0.15">
      <c r="A470" s="9">
        <v>7296</v>
      </c>
      <c r="B470" s="10" t="s">
        <v>1293</v>
      </c>
      <c r="C470" s="11" t="s">
        <v>1294</v>
      </c>
      <c r="D470" s="11" t="s">
        <v>405</v>
      </c>
      <c r="E470" s="13">
        <v>40</v>
      </c>
      <c r="F470" s="13">
        <v>5</v>
      </c>
      <c r="G470" s="7">
        <f t="shared" si="7"/>
        <v>0</v>
      </c>
      <c r="H470" s="13">
        <v>88</v>
      </c>
      <c r="I470" s="13">
        <v>4</v>
      </c>
      <c r="J470" s="13">
        <v>92</v>
      </c>
      <c r="K470" s="15">
        <v>5.8192000000000001E-6</v>
      </c>
    </row>
    <row r="471" spans="1:11" ht="80" customHeight="1" x14ac:dyDescent="0.15">
      <c r="A471" s="9">
        <v>1544</v>
      </c>
      <c r="B471" s="10" t="s">
        <v>1295</v>
      </c>
      <c r="C471" s="11" t="s">
        <v>1296</v>
      </c>
      <c r="D471" s="11" t="s">
        <v>1297</v>
      </c>
      <c r="E471" s="13">
        <v>1038</v>
      </c>
      <c r="F471" s="13">
        <v>867</v>
      </c>
      <c r="G471" s="7">
        <f>IF(OR(ISBLANK(E471), ISBLANK(F471)), 0, IF(E471=F471, 1, 0))</f>
        <v>0</v>
      </c>
      <c r="H471" s="13">
        <v>90</v>
      </c>
      <c r="I471" s="13">
        <v>5</v>
      </c>
      <c r="J471" s="13">
        <v>95</v>
      </c>
      <c r="K471" s="14">
        <v>6.1500000000000004E-6</v>
      </c>
    </row>
    <row r="472" spans="1:11" ht="44" customHeight="1" x14ac:dyDescent="0.15">
      <c r="A472" s="9">
        <v>6086</v>
      </c>
      <c r="B472" s="10" t="s">
        <v>1298</v>
      </c>
      <c r="C472" s="11" t="s">
        <v>1299</v>
      </c>
      <c r="D472" s="11" t="s">
        <v>1300</v>
      </c>
      <c r="E472" s="12"/>
      <c r="F472" s="13">
        <v>21</v>
      </c>
      <c r="G472" s="7">
        <f t="shared" si="7"/>
        <v>0</v>
      </c>
      <c r="H472" s="13">
        <v>66</v>
      </c>
      <c r="I472" s="13">
        <v>6</v>
      </c>
      <c r="J472" s="13">
        <v>72</v>
      </c>
      <c r="K472" s="14">
        <v>5.2800000000000003E-6</v>
      </c>
    </row>
    <row r="473" spans="1:11" ht="44" customHeight="1" x14ac:dyDescent="0.15">
      <c r="A473" s="9">
        <v>3353</v>
      </c>
      <c r="B473" s="10" t="s">
        <v>1301</v>
      </c>
      <c r="C473" s="11" t="s">
        <v>1302</v>
      </c>
      <c r="D473" s="11" t="s">
        <v>1303</v>
      </c>
      <c r="E473" s="13">
        <v>351</v>
      </c>
      <c r="F473" s="13">
        <v>357</v>
      </c>
      <c r="G473" s="7">
        <f t="shared" si="7"/>
        <v>0</v>
      </c>
      <c r="H473" s="13">
        <v>59</v>
      </c>
      <c r="I473" s="13">
        <v>4</v>
      </c>
      <c r="J473" s="13">
        <v>63</v>
      </c>
      <c r="K473" s="14">
        <v>4.2699999999999998E-6</v>
      </c>
    </row>
    <row r="474" spans="1:11" ht="56" customHeight="1" x14ac:dyDescent="0.15">
      <c r="A474" s="9">
        <v>4307</v>
      </c>
      <c r="B474" s="10" t="s">
        <v>1304</v>
      </c>
      <c r="C474" s="11" t="s">
        <v>1305</v>
      </c>
      <c r="D474" s="11" t="s">
        <v>1306</v>
      </c>
      <c r="E474" s="13">
        <v>120000</v>
      </c>
      <c r="F474" s="13">
        <v>360000</v>
      </c>
      <c r="G474" s="7">
        <f t="shared" si="7"/>
        <v>0</v>
      </c>
      <c r="H474" s="13">
        <v>99</v>
      </c>
      <c r="I474" s="13">
        <v>5</v>
      </c>
      <c r="J474" s="13">
        <v>104</v>
      </c>
      <c r="K474" s="18">
        <v>6.6000000000000003E-6</v>
      </c>
    </row>
    <row r="475" spans="1:11" ht="56" customHeight="1" x14ac:dyDescent="0.15">
      <c r="A475" s="9">
        <v>7359</v>
      </c>
      <c r="B475" s="10" t="s">
        <v>1307</v>
      </c>
      <c r="C475" s="11" t="s">
        <v>1308</v>
      </c>
      <c r="D475" s="11" t="s">
        <v>1309</v>
      </c>
      <c r="E475" s="12">
        <v>20</v>
      </c>
      <c r="F475" s="13">
        <v>20</v>
      </c>
      <c r="G475" s="7">
        <f t="shared" si="7"/>
        <v>1</v>
      </c>
      <c r="H475" s="13">
        <v>110</v>
      </c>
      <c r="I475" s="13">
        <v>39</v>
      </c>
      <c r="J475" s="13">
        <v>149</v>
      </c>
      <c r="K475" s="16">
        <v>1.8369999999999999E-5</v>
      </c>
    </row>
    <row r="476" spans="1:11" ht="44" customHeight="1" x14ac:dyDescent="0.15">
      <c r="A476" s="9">
        <v>2476</v>
      </c>
      <c r="B476" s="10" t="s">
        <v>1310</v>
      </c>
      <c r="C476" s="11" t="s">
        <v>1311</v>
      </c>
      <c r="D476" s="11" t="s">
        <v>40</v>
      </c>
      <c r="E476" s="12"/>
      <c r="F476" s="13">
        <v>2000</v>
      </c>
      <c r="G476" s="7">
        <f t="shared" si="7"/>
        <v>0</v>
      </c>
      <c r="H476" s="13">
        <v>0</v>
      </c>
      <c r="I476" s="13">
        <v>1</v>
      </c>
      <c r="J476" s="13">
        <v>1</v>
      </c>
      <c r="K476" s="13">
        <v>0</v>
      </c>
    </row>
    <row r="477" spans="1:11" ht="68" customHeight="1" x14ac:dyDescent="0.15">
      <c r="A477" s="9">
        <v>3656</v>
      </c>
      <c r="B477" s="10" t="s">
        <v>1312</v>
      </c>
      <c r="C477" s="11" t="s">
        <v>1313</v>
      </c>
      <c r="D477" s="11" t="s">
        <v>1314</v>
      </c>
      <c r="E477" s="13">
        <v>36</v>
      </c>
      <c r="F477" s="13">
        <v>10</v>
      </c>
      <c r="G477" s="7">
        <f t="shared" si="7"/>
        <v>0</v>
      </c>
      <c r="H477" s="13">
        <v>78</v>
      </c>
      <c r="I477" s="13">
        <v>4</v>
      </c>
      <c r="J477" s="13">
        <v>82</v>
      </c>
      <c r="K477" s="14">
        <v>5.22E-6</v>
      </c>
    </row>
    <row r="478" spans="1:11" ht="116" customHeight="1" x14ac:dyDescent="0.15">
      <c r="A478" s="9">
        <v>3316</v>
      </c>
      <c r="B478" s="10" t="s">
        <v>1315</v>
      </c>
      <c r="C478" s="11" t="s">
        <v>1316</v>
      </c>
      <c r="D478" s="11" t="s">
        <v>1317</v>
      </c>
      <c r="E478" s="12"/>
      <c r="F478" s="13">
        <v>85</v>
      </c>
      <c r="G478" s="7">
        <f t="shared" si="7"/>
        <v>0</v>
      </c>
      <c r="H478" s="13">
        <v>0</v>
      </c>
      <c r="I478" s="13">
        <v>1</v>
      </c>
      <c r="J478" s="13">
        <v>1</v>
      </c>
      <c r="K478" s="13">
        <v>0</v>
      </c>
    </row>
    <row r="479" spans="1:11" ht="80" customHeight="1" x14ac:dyDescent="0.15">
      <c r="A479" s="9">
        <v>6584</v>
      </c>
      <c r="B479" s="10" t="s">
        <v>1318</v>
      </c>
      <c r="C479" s="11" t="s">
        <v>1319</v>
      </c>
      <c r="D479" s="11" t="s">
        <v>1320</v>
      </c>
      <c r="E479" s="13">
        <v>420</v>
      </c>
      <c r="F479" s="13">
        <v>558</v>
      </c>
      <c r="G479" s="7">
        <f t="shared" si="7"/>
        <v>0</v>
      </c>
      <c r="H479" s="13">
        <v>95</v>
      </c>
      <c r="I479" s="13">
        <v>4</v>
      </c>
      <c r="J479" s="13">
        <v>99</v>
      </c>
      <c r="K479" s="14">
        <v>6.0700000000000003E-6</v>
      </c>
    </row>
    <row r="480" spans="1:11" ht="44" customHeight="1" x14ac:dyDescent="0.15">
      <c r="A480" s="9">
        <v>3539</v>
      </c>
      <c r="B480" s="10" t="s">
        <v>1321</v>
      </c>
      <c r="C480" s="11" t="s">
        <v>1322</v>
      </c>
      <c r="D480" s="11" t="s">
        <v>1323</v>
      </c>
      <c r="E480" s="13">
        <v>31</v>
      </c>
      <c r="F480" s="13">
        <v>35</v>
      </c>
      <c r="G480" s="7">
        <f t="shared" si="7"/>
        <v>0</v>
      </c>
      <c r="H480" s="13">
        <v>91</v>
      </c>
      <c r="I480" s="13">
        <v>4</v>
      </c>
      <c r="J480" s="13">
        <v>95</v>
      </c>
      <c r="K480" s="14">
        <v>5.8699999999999997E-6</v>
      </c>
    </row>
    <row r="481" spans="1:11" ht="56" customHeight="1" x14ac:dyDescent="0.15">
      <c r="A481" s="9">
        <v>554</v>
      </c>
      <c r="B481" s="10" t="s">
        <v>1324</v>
      </c>
      <c r="C481" s="11" t="s">
        <v>1325</v>
      </c>
      <c r="D481" s="11" t="s">
        <v>654</v>
      </c>
      <c r="E481" s="13">
        <v>30</v>
      </c>
      <c r="F481" s="13">
        <v>50</v>
      </c>
      <c r="G481" s="7">
        <f t="shared" si="7"/>
        <v>0</v>
      </c>
      <c r="H481" s="13">
        <v>72</v>
      </c>
      <c r="I481" s="13">
        <v>4</v>
      </c>
      <c r="J481" s="13">
        <v>76</v>
      </c>
      <c r="K481" s="14">
        <v>4.9200000000000003E-6</v>
      </c>
    </row>
    <row r="482" spans="1:11" ht="56" customHeight="1" x14ac:dyDescent="0.15">
      <c r="A482" s="9">
        <v>3905</v>
      </c>
      <c r="B482" s="10" t="s">
        <v>1326</v>
      </c>
      <c r="C482" s="11" t="s">
        <v>1327</v>
      </c>
      <c r="D482" s="11" t="s">
        <v>258</v>
      </c>
      <c r="E482" s="13">
        <v>60</v>
      </c>
      <c r="F482" s="13">
        <v>300</v>
      </c>
      <c r="G482" s="7">
        <f t="shared" si="7"/>
        <v>0</v>
      </c>
      <c r="H482" s="13">
        <v>54</v>
      </c>
      <c r="I482" s="13">
        <v>4</v>
      </c>
      <c r="J482" s="13">
        <v>58</v>
      </c>
      <c r="K482" s="14">
        <v>4.0199999999999996E-6</v>
      </c>
    </row>
    <row r="483" spans="1:11" ht="44" customHeight="1" x14ac:dyDescent="0.15">
      <c r="A483" s="9">
        <v>4647</v>
      </c>
      <c r="B483" s="10" t="s">
        <v>1328</v>
      </c>
      <c r="C483" s="11" t="s">
        <v>1329</v>
      </c>
      <c r="D483" s="11" t="s">
        <v>1330</v>
      </c>
      <c r="E483" s="12"/>
      <c r="F483" s="13">
        <v>4500</v>
      </c>
      <c r="G483" s="7">
        <f t="shared" si="7"/>
        <v>0</v>
      </c>
      <c r="H483" s="13">
        <v>124</v>
      </c>
      <c r="I483" s="13">
        <v>14</v>
      </c>
      <c r="J483" s="13">
        <v>138</v>
      </c>
      <c r="K483" s="17">
        <v>1.10016E-5</v>
      </c>
    </row>
    <row r="484" spans="1:11" ht="68" customHeight="1" x14ac:dyDescent="0.15">
      <c r="A484" s="9">
        <v>233</v>
      </c>
      <c r="B484" s="10" t="s">
        <v>1331</v>
      </c>
      <c r="C484" s="11" t="s">
        <v>1332</v>
      </c>
      <c r="D484" s="11" t="s">
        <v>1333</v>
      </c>
      <c r="E484" s="12"/>
      <c r="F484" s="13">
        <v>40</v>
      </c>
      <c r="G484" s="7">
        <f t="shared" si="7"/>
        <v>0</v>
      </c>
      <c r="H484" s="13">
        <v>0</v>
      </c>
      <c r="I484" s="13">
        <v>1</v>
      </c>
      <c r="J484" s="13">
        <v>1</v>
      </c>
      <c r="K484" s="13">
        <v>0</v>
      </c>
    </row>
    <row r="485" spans="1:11" ht="68" customHeight="1" x14ac:dyDescent="0.15">
      <c r="A485" s="9">
        <v>65</v>
      </c>
      <c r="B485" s="10" t="s">
        <v>1334</v>
      </c>
      <c r="C485" s="11" t="s">
        <v>1335</v>
      </c>
      <c r="D485" s="11" t="s">
        <v>1336</v>
      </c>
      <c r="E485" s="12"/>
      <c r="F485" s="13">
        <v>558</v>
      </c>
      <c r="G485" s="7">
        <f t="shared" si="7"/>
        <v>0</v>
      </c>
      <c r="H485" s="13">
        <v>0</v>
      </c>
      <c r="I485" s="13">
        <v>1</v>
      </c>
      <c r="J485" s="13">
        <v>1</v>
      </c>
      <c r="K485" s="13">
        <v>0</v>
      </c>
    </row>
    <row r="486" spans="1:11" ht="128" customHeight="1" x14ac:dyDescent="0.15">
      <c r="A486" s="9">
        <v>6724</v>
      </c>
      <c r="B486" s="10" t="s">
        <v>1337</v>
      </c>
      <c r="C486" s="11" t="s">
        <v>1338</v>
      </c>
      <c r="D486" s="11" t="s">
        <v>1339</v>
      </c>
      <c r="E486" s="12"/>
      <c r="F486" s="13">
        <v>146</v>
      </c>
      <c r="G486" s="7">
        <f t="shared" si="7"/>
        <v>0</v>
      </c>
      <c r="H486" s="13">
        <v>0</v>
      </c>
      <c r="I486" s="13">
        <v>1</v>
      </c>
      <c r="J486" s="13">
        <v>1</v>
      </c>
      <c r="K486" s="13">
        <v>0</v>
      </c>
    </row>
    <row r="487" spans="1:11" ht="68" customHeight="1" x14ac:dyDescent="0.15">
      <c r="A487" s="9">
        <v>2458</v>
      </c>
      <c r="B487" s="10" t="s">
        <v>1340</v>
      </c>
      <c r="C487" s="11" t="s">
        <v>1341</v>
      </c>
      <c r="D487" s="11" t="s">
        <v>1342</v>
      </c>
      <c r="E487" s="12"/>
      <c r="F487" s="13">
        <v>2888</v>
      </c>
      <c r="G487" s="7">
        <f t="shared" si="7"/>
        <v>0</v>
      </c>
      <c r="H487" s="13">
        <v>101</v>
      </c>
      <c r="I487" s="13">
        <v>34</v>
      </c>
      <c r="J487" s="13">
        <v>135</v>
      </c>
      <c r="K487" s="16">
        <v>1.6269999999999998E-5</v>
      </c>
    </row>
    <row r="488" spans="1:11" ht="44" customHeight="1" x14ac:dyDescent="0.15">
      <c r="A488" s="9">
        <v>4615</v>
      </c>
      <c r="B488" s="10" t="s">
        <v>1343</v>
      </c>
      <c r="C488" s="11" t="s">
        <v>1344</v>
      </c>
      <c r="D488" s="11" t="s">
        <v>19</v>
      </c>
      <c r="E488" s="13">
        <v>12</v>
      </c>
      <c r="F488" s="13">
        <v>18</v>
      </c>
      <c r="G488" s="7">
        <f t="shared" si="7"/>
        <v>0</v>
      </c>
      <c r="H488" s="13">
        <v>66</v>
      </c>
      <c r="I488" s="13">
        <v>4</v>
      </c>
      <c r="J488" s="13">
        <v>70</v>
      </c>
      <c r="K488" s="14">
        <v>4.6199999999999998E-6</v>
      </c>
    </row>
    <row r="489" spans="1:11" ht="44" customHeight="1" x14ac:dyDescent="0.15">
      <c r="A489" s="9">
        <v>6151</v>
      </c>
      <c r="B489" s="10" t="s">
        <v>1345</v>
      </c>
      <c r="C489" s="11" t="s">
        <v>1346</v>
      </c>
      <c r="D489" s="11" t="s">
        <v>208</v>
      </c>
      <c r="E489" s="12"/>
      <c r="F489" s="13">
        <v>6</v>
      </c>
      <c r="G489" s="7">
        <f t="shared" si="7"/>
        <v>0</v>
      </c>
      <c r="H489" s="13">
        <v>0</v>
      </c>
      <c r="I489" s="13">
        <v>1</v>
      </c>
      <c r="J489" s="13">
        <v>1</v>
      </c>
      <c r="K489" s="13">
        <v>0</v>
      </c>
    </row>
    <row r="490" spans="1:11" ht="68" customHeight="1" x14ac:dyDescent="0.15">
      <c r="A490" s="9">
        <v>3554</v>
      </c>
      <c r="B490" s="10" t="s">
        <v>1347</v>
      </c>
      <c r="C490" s="11" t="s">
        <v>1348</v>
      </c>
      <c r="D490" s="11" t="s">
        <v>1349</v>
      </c>
      <c r="E490" s="12">
        <v>15</v>
      </c>
      <c r="F490" s="13">
        <v>15</v>
      </c>
      <c r="G490" s="7">
        <f t="shared" si="7"/>
        <v>1</v>
      </c>
      <c r="H490" s="13">
        <v>83</v>
      </c>
      <c r="I490" s="13">
        <v>10</v>
      </c>
      <c r="J490" s="13">
        <v>93</v>
      </c>
      <c r="K490" s="15">
        <v>7.5746999999999997E-6</v>
      </c>
    </row>
    <row r="491" spans="1:11" ht="44" customHeight="1" x14ac:dyDescent="0.15">
      <c r="A491" s="9">
        <v>7345</v>
      </c>
      <c r="B491" s="10" t="s">
        <v>1350</v>
      </c>
      <c r="C491" s="11" t="s">
        <v>1351</v>
      </c>
      <c r="D491" s="11" t="s">
        <v>290</v>
      </c>
      <c r="E491" s="13">
        <v>24</v>
      </c>
      <c r="F491" s="13">
        <v>24</v>
      </c>
      <c r="G491" s="7">
        <f t="shared" si="7"/>
        <v>1</v>
      </c>
      <c r="H491" s="13">
        <v>67</v>
      </c>
      <c r="I491" s="13">
        <v>4</v>
      </c>
      <c r="J491" s="13">
        <v>71</v>
      </c>
      <c r="K491" s="14">
        <v>4.6700000000000002E-6</v>
      </c>
    </row>
    <row r="492" spans="1:11" ht="92" customHeight="1" x14ac:dyDescent="0.15">
      <c r="A492" s="9">
        <v>4407</v>
      </c>
      <c r="B492" s="10" t="s">
        <v>1352</v>
      </c>
      <c r="C492" s="11" t="s">
        <v>1353</v>
      </c>
      <c r="D492" s="11" t="s">
        <v>1354</v>
      </c>
      <c r="E492" s="13">
        <v>950</v>
      </c>
      <c r="F492" s="12"/>
      <c r="G492" s="7">
        <f t="shared" si="7"/>
        <v>0</v>
      </c>
      <c r="H492" s="13">
        <v>101</v>
      </c>
      <c r="I492" s="13">
        <v>4</v>
      </c>
      <c r="J492" s="13">
        <v>105</v>
      </c>
      <c r="K492" s="14">
        <v>6.37E-6</v>
      </c>
    </row>
    <row r="493" spans="1:11" ht="68" customHeight="1" x14ac:dyDescent="0.15">
      <c r="A493" s="9">
        <v>1790</v>
      </c>
      <c r="B493" s="10" t="s">
        <v>1355</v>
      </c>
      <c r="C493" s="11" t="s">
        <v>1356</v>
      </c>
      <c r="D493" s="11" t="s">
        <v>1357</v>
      </c>
      <c r="E493" s="12"/>
      <c r="F493" s="13">
        <v>21000</v>
      </c>
      <c r="G493" s="7">
        <f t="shared" si="7"/>
        <v>0</v>
      </c>
      <c r="H493" s="13">
        <v>94</v>
      </c>
      <c r="I493" s="13">
        <v>17</v>
      </c>
      <c r="J493" s="13">
        <v>111</v>
      </c>
      <c r="K493" s="16">
        <v>1.031E-5</v>
      </c>
    </row>
    <row r="494" spans="1:11" ht="116" customHeight="1" x14ac:dyDescent="0.15">
      <c r="A494" s="9">
        <v>381</v>
      </c>
      <c r="B494" s="10" t="s">
        <v>1358</v>
      </c>
      <c r="C494" s="11" t="s">
        <v>1359</v>
      </c>
      <c r="D494" s="11" t="s">
        <v>1360</v>
      </c>
      <c r="E494" s="12"/>
      <c r="F494" s="13">
        <v>75</v>
      </c>
      <c r="G494" s="7">
        <f t="shared" si="7"/>
        <v>0</v>
      </c>
      <c r="H494" s="13">
        <v>0</v>
      </c>
      <c r="I494" s="13">
        <v>1</v>
      </c>
      <c r="J494" s="13">
        <v>1</v>
      </c>
      <c r="K494" s="13">
        <v>0</v>
      </c>
    </row>
    <row r="495" spans="1:11" ht="56" customHeight="1" x14ac:dyDescent="0.15">
      <c r="A495" s="9">
        <v>7136</v>
      </c>
      <c r="B495" s="10" t="s">
        <v>1361</v>
      </c>
      <c r="C495" s="11" t="s">
        <v>1362</v>
      </c>
      <c r="D495" s="11" t="s">
        <v>1363</v>
      </c>
      <c r="E495" s="12"/>
      <c r="F495" s="13">
        <v>168</v>
      </c>
      <c r="G495" s="7">
        <f t="shared" si="7"/>
        <v>0</v>
      </c>
      <c r="H495" s="13">
        <v>0</v>
      </c>
      <c r="I495" s="13">
        <v>1</v>
      </c>
      <c r="J495" s="13">
        <v>1</v>
      </c>
      <c r="K495" s="13">
        <v>0</v>
      </c>
    </row>
    <row r="496" spans="1:11" ht="56" customHeight="1" x14ac:dyDescent="0.15">
      <c r="A496" s="9">
        <v>4427</v>
      </c>
      <c r="B496" s="10" t="s">
        <v>1364</v>
      </c>
      <c r="C496" s="11" t="s">
        <v>1365</v>
      </c>
      <c r="D496" s="11" t="s">
        <v>290</v>
      </c>
      <c r="E496" s="13">
        <v>24</v>
      </c>
      <c r="F496" s="13">
        <v>58</v>
      </c>
      <c r="G496" s="7">
        <f t="shared" si="7"/>
        <v>0</v>
      </c>
      <c r="H496" s="13">
        <v>77</v>
      </c>
      <c r="I496" s="13">
        <v>4</v>
      </c>
      <c r="J496" s="13">
        <v>81</v>
      </c>
      <c r="K496" s="14">
        <v>5.1699999999999996E-6</v>
      </c>
    </row>
    <row r="497" spans="1:11" ht="80" customHeight="1" x14ac:dyDescent="0.15">
      <c r="A497" s="9">
        <v>4928</v>
      </c>
      <c r="B497" s="10" t="s">
        <v>1366</v>
      </c>
      <c r="C497" s="11" t="s">
        <v>1367</v>
      </c>
      <c r="D497" s="11" t="s">
        <v>1368</v>
      </c>
      <c r="E497" s="12"/>
      <c r="F497" s="13">
        <v>480</v>
      </c>
      <c r="G497" s="7">
        <f t="shared" si="7"/>
        <v>0</v>
      </c>
      <c r="H497" s="13">
        <v>0</v>
      </c>
      <c r="I497" s="13">
        <v>1</v>
      </c>
      <c r="J497" s="13">
        <v>1</v>
      </c>
      <c r="K497" s="13">
        <v>0</v>
      </c>
    </row>
    <row r="498" spans="1:11" ht="104" customHeight="1" x14ac:dyDescent="0.15">
      <c r="A498" s="9">
        <v>4554</v>
      </c>
      <c r="B498" s="10" t="s">
        <v>1369</v>
      </c>
      <c r="C498" s="11" t="s">
        <v>1370</v>
      </c>
      <c r="D498" s="11" t="s">
        <v>300</v>
      </c>
      <c r="E498" s="13">
        <v>25</v>
      </c>
      <c r="F498" s="13">
        <v>51</v>
      </c>
      <c r="G498" s="7">
        <f t="shared" si="7"/>
        <v>0</v>
      </c>
      <c r="H498" s="13">
        <v>126</v>
      </c>
      <c r="I498" s="13">
        <v>4</v>
      </c>
      <c r="J498" s="13">
        <v>130</v>
      </c>
      <c r="K498" s="14">
        <v>7.6199999999999999E-6</v>
      </c>
    </row>
    <row r="499" spans="1:11" ht="224" customHeight="1" x14ac:dyDescent="0.15">
      <c r="A499" s="9">
        <v>7284</v>
      </c>
      <c r="B499" s="10" t="s">
        <v>1371</v>
      </c>
      <c r="C499" s="11" t="s">
        <v>1372</v>
      </c>
      <c r="D499" s="11" t="s">
        <v>1373</v>
      </c>
      <c r="E499" s="12"/>
      <c r="F499" s="13">
        <v>16</v>
      </c>
      <c r="G499" s="7">
        <f t="shared" si="7"/>
        <v>0</v>
      </c>
      <c r="H499" s="13">
        <v>123</v>
      </c>
      <c r="I499" s="13">
        <v>239</v>
      </c>
      <c r="J499" s="13">
        <v>362</v>
      </c>
      <c r="K499" s="17">
        <v>8.6325700000000006E-5</v>
      </c>
    </row>
    <row r="500" spans="1:11" ht="44" customHeight="1" x14ac:dyDescent="0.15">
      <c r="A500" s="9">
        <v>217</v>
      </c>
      <c r="B500" s="10" t="s">
        <v>1374</v>
      </c>
      <c r="C500" s="11" t="s">
        <v>1375</v>
      </c>
      <c r="D500" s="11" t="s">
        <v>196</v>
      </c>
      <c r="E500" s="13">
        <v>16</v>
      </c>
      <c r="F500" s="13">
        <v>96</v>
      </c>
      <c r="G500" s="7">
        <f t="shared" si="7"/>
        <v>0</v>
      </c>
      <c r="H500" s="13">
        <v>72</v>
      </c>
      <c r="I500" s="13">
        <v>4</v>
      </c>
      <c r="J500" s="13">
        <v>76</v>
      </c>
      <c r="K500" s="14">
        <v>4.9200000000000003E-6</v>
      </c>
    </row>
    <row r="501" spans="1:11" ht="92" customHeight="1" x14ac:dyDescent="0.15">
      <c r="A501" s="9">
        <v>5271</v>
      </c>
      <c r="B501" s="10" t="s">
        <v>1376</v>
      </c>
      <c r="C501" s="11" t="s">
        <v>1377</v>
      </c>
      <c r="D501" s="11" t="s">
        <v>1378</v>
      </c>
      <c r="E501" s="12"/>
      <c r="F501" s="13">
        <v>180</v>
      </c>
      <c r="G501" s="7">
        <f t="shared" si="7"/>
        <v>0</v>
      </c>
      <c r="H501" s="13">
        <v>0</v>
      </c>
      <c r="I501" s="13">
        <v>1</v>
      </c>
      <c r="J501" s="13">
        <v>1</v>
      </c>
      <c r="K501" s="13">
        <v>0</v>
      </c>
    </row>
    <row r="502" spans="1:11" ht="56" customHeight="1" x14ac:dyDescent="0.15">
      <c r="A502" s="9">
        <v>5039</v>
      </c>
      <c r="B502" s="10" t="s">
        <v>1379</v>
      </c>
      <c r="C502" s="11" t="s">
        <v>1380</v>
      </c>
      <c r="D502" s="11" t="s">
        <v>75</v>
      </c>
      <c r="E502" s="13">
        <v>4</v>
      </c>
      <c r="F502" s="13">
        <v>3</v>
      </c>
      <c r="G502" s="7">
        <f t="shared" si="7"/>
        <v>0</v>
      </c>
      <c r="H502" s="13">
        <v>71</v>
      </c>
      <c r="I502" s="13">
        <v>4</v>
      </c>
      <c r="J502" s="13">
        <v>75</v>
      </c>
      <c r="K502" s="14">
        <v>4.87E-6</v>
      </c>
    </row>
    <row r="504" spans="1:11" ht="20" customHeight="1" x14ac:dyDescent="0.15">
      <c r="F504" s="21" t="s">
        <v>1382</v>
      </c>
      <c r="G504" s="21">
        <f>SUM(G3:G502)</f>
        <v>39</v>
      </c>
    </row>
    <row r="505" spans="1:11" ht="20" customHeight="1" x14ac:dyDescent="0.15">
      <c r="F505" s="21" t="s">
        <v>1383</v>
      </c>
      <c r="G505" s="21">
        <f>(G504/500)*100</f>
        <v>7.8</v>
      </c>
    </row>
  </sheetData>
  <mergeCells count="1">
    <mergeCell ref="A1:K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2026-09-08T05:58:07Z</dcterms:modified>
</cp:coreProperties>
</file>