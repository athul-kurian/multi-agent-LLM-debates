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efficient-debates/Benchmarks/Results/single-agent-zero-shot/llama-70b/"/>
    </mc:Choice>
  </mc:AlternateContent>
  <xr:revisionPtr revIDLastSave="0" documentId="13_ncr:1_{4CE5540F-E2E8-CC41-A872-583DBEB51FFD}"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6" i="1" l="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121"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4" i="1"/>
  <c r="G5" i="1"/>
  <c r="G6" i="1"/>
  <c r="G3" i="1"/>
  <c r="G504" i="1" l="1"/>
  <c r="G505" i="1" s="1"/>
</calcChain>
</file>

<file path=xl/sharedStrings.xml><?xml version="1.0" encoding="utf-8"?>
<sst xmlns="http://schemas.openxmlformats.org/spreadsheetml/2006/main" count="1514" uniqueCount="1504">
  <si>
    <t>single-agent-zero-shot-llama-70b-results</t>
  </si>
  <si>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</si>
  <si>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</si>
  <si>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</si>
  <si>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</si>
  <si>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</si>
  <si>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</si>
  <si>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</si>
  <si>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</si>
  <si>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</si>
  <si>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</si>
  <si>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</si>
  <si>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</si>
  <si>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 Step 1: Calculate the number of students who have puppies.
First, we need to find out how many students have puppies. Since 80% of the 40 students have puppies, we calculate this as 0.8 * 40 = 32 students.
## Step 2: Calculate the number of students who have both puppies and parrots.
Next, we need to find out how many of those students with puppies also have parrots. Since 25% of the students with puppies also have parrots, we calculate this as 0.25 * 32 = 8 students.
The final answer is: $\\boxed{8}$</t>
  </si>
  <si>
    <t>Diane bought twenty more apples than Cecile. If Cecile bought 15 apples, how many apples did they buy altogether?</t>
  </si>
  <si>
    <t>Diane bought 15 + 20 = &lt;&lt;15+20=35&gt;&gt;35 apples.
Therefore, they bought 15 + 35 = &lt;&lt;15+35=50&gt;&gt;50 apples altogether.
#### 50</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</si>
  <si>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</si>
  <si>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</si>
  <si>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</si>
  <si>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</si>
  <si>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 Step 1: Calculate the calories burnt in 2 hours
Jonah burnt 30 calories every hour. So, in 2 hours, he burnt 30 * 2 = 60 calories.
## Step 2: Calculate the calories burnt in 5 hours
If Jonah had run for 5 hours, he would have burnt 30 * 5 = 150 calories.
## Step 3: Calculate the difference in calories burnt
To find out how many more calories he would have lost if he had run for 5 hours instead of 2, we subtract the calories burnt in 2 hours from the calories burnt in 5 hours. So, 150 - 60 = 90 calories.
The final answer is: ####90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</si>
  <si>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</si>
  <si>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</si>
  <si>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 Step 1: Determine the population of Victoria
Since Richmond has 1000 more people than Victoria and Richmond has 3000 people, we can calculate the population of Victoria by subtracting 1000 from the population of Richmond. So, Victoria's population = 3000 - 1000 = 2000.
## Step 2: Calculate the population of Beacon
Given that Victoria has 4 times as many people as Beacon, we can find the population of Beacon by dividing the population of Victoria by 4. So, Beacon's population = 2000 / 4 = 500.
The final answer is: ####500</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</si>
  <si>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</si>
  <si>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</si>
  <si>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 Step 1: Determine the number of oysters Squido eats.
Squido eats 200 oysters.
## Step 2: Calculate the minimum number of oysters Crabby must eat.
Crabby has to eat at least twice as many oysters as Squido does, so Crabby must eat at least 2 * 200 = 400 oysters.
## Step 3: Calculate the total number of oysters they eat altogether.
The total number of oysters they eat is the sum of what Squido and Crabby eat, which is 200 (Squido) + 400 (Crabby) = 600 oysters.
The final answer is: ####600</t>
  </si>
  <si>
    <t>John sells 20 woodburning for $15 each.  The wood cost $100.  How much does he make in profit?</t>
  </si>
  <si>
    <t>He sells the woodburning for 20*15=$&lt;&lt;20*15=300&gt;&gt;300
So he makes a profit of 300-100=$&lt;&lt;300-100=200&gt;&gt;200
#### 200</t>
  </si>
  <si>
    <t>To find the profit, we need to calculate the total revenue and subtract the cost.
Total revenue = Number of woodburnings sold x Price per woodburning
= 20 x $15
= $300
Cost = $100
Profit = Total revenue - Cost
= $300 - $100
= $200
#### 200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</si>
  <si>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</si>
  <si>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</si>
  <si>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 Step 1: Calculate the number of clovers with four leaves
First, we need to find out how many clovers have four leaves. Since 20% of the 500 clovers have four leaves, we calculate this as 20% of 500. This means 0.20 * 500 = 100 clovers have four leaves.
## Step 2: Calculate the number of clovers that are both four-leaved and purple
Next, we're told that one quarter of the four-leaved clovers are purple. So, we need to find one quarter of the 100 four-leaved clovers. This is calculated as 1/4 * 100 = 25.
The final answer is: ####25</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</si>
  <si>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</si>
  <si>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</si>
  <si>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 900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</si>
  <si>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</si>
  <si>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</si>
  <si>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 Step 1: Calculate the number of marbles Elsa had after losing 3 marbles at breakfast.
Elsa started with 40 marbles and lost 3, so she had 40 - 3 = 37 marbles.
## Step 2: Calculate the number of marbles Elsa had after giving 5 marbles to Susie at lunch.
After giving 5 marbles to Susie, Elsa had 37 - 5 = 32 marbles.
## Step 3: Calculate the number of marbles Elsa had after receiving a new bag with 12 marbles in the afternoon.
Elsa received 12 new marbles, so she then had 32 + 12 = 44 marbles.
## Step 4: Calculate the number of marbles Susie gave back to Elsa.
Susie received 5 marbles and gave back twice as many, so she gave Elsa 5 * 2 = 10 marbles.
## Step 5: Calculate the total number of marbles Elsa had at the end of the day.
After receiving 10 marbles from Susie, Elsa had 44 + 10 = 54 marbles.
The final answer is: ####54</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</si>
  <si>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</si>
  <si>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</si>
  <si>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 70</t>
  </si>
  <si>
    <t>In a field where there are 200 animals, there are 40 cows, 56 sheep and goats. How many goats are there?</t>
  </si>
  <si>
    <t>We have 56 + 40 = &lt;&lt;56+40=96&gt;&gt;96 animals other than goats.
So, we have 200 – 96 = &lt;&lt;200-96=104&gt;&gt;104 goats
#### 104</t>
  </si>
  <si>
    <t>## 104</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</si>
  <si>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</si>
  <si>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</si>
  <si>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 Step 1: Calculate the total number of scientists from Europe.
Half of the scientists are from Europe. So, the number of scientists from Europe = 70 * 0.5 = 35.
## Step 2: Calculate the total number of scientists from Canada.
One-fifth of the scientists are from Canada. So, the number of scientists from Canada = 70 * (1/5) = 14.
## Step 3: Calculate the total number of scientists from Europe and Canada combined.
Total number of scientists from Europe and Canada = 35 (Europe) + 14 (Canada) = 49.
## Step 4: Calculate the number of scientists from the USA.
The rest of the scientists are from the USA. So, the number of scientists from the USA = 70 (total) - 49 (Europe and Canada) = 21.
The final answer is: ####21</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</si>
  <si>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</si>
  <si>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</si>
  <si>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 Step 1: Calculate the initial time Mark spends reading books per week.
Mark reads 2 hours each day. There are 7 days in a week, so he initially spends 2 * 7 = 14 hours per week reading books.
## Step 2: Calculate the additional time Mark wants to spend reading books per week.
Mark decided to increase his time spent on reading books by 4 hours per week.
## Step 3: Calculate the total time Mark wants to spend reading books per week.
To find the total time Mark wants to spend reading books per week, we need to add the initial time and the additional time. Total time = initial time + additional time = 14 hours + 4 hours = 18 hours.
The final answer is: $####18$</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</si>
  <si>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</si>
  <si>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</si>
  <si>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 Step 1: Calculate the number of parents who agree with the tuition fee increase
To find the number of parents who agree, we need to calculate 20% of 800. This can be done by multiplying 800 by 0.20.
## Step 2: Perform the calculation for the number of parents who agree
Number of parents who agree = 800 * 0.20 = 160.
## Step 3: Calculate the number of parents who disagree with the tuition fee increase
The number of parents who disagree can be found by subtracting the number of parents who agree from the total number of parents. So, we subtract the number of parents who agree from 800.
## Step 4: Perform the calculation for the number of parents who disagree
Number of parents who disagree = 800 - 160 = 640.
The final answer is: ####640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</si>
  <si>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</si>
  <si>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</si>
  <si>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 Step 1: Calculate the cost of three shirts
The cost of one shirt is $5, so the cost of three shirts is 3 * $5 = $15.
## Step 2: Calculate the cost of two pairs of jeans
The cost of one pair of jeans is $10, so the cost of two pairs of jeans is 2 * $10 = $20.
## Step 3: Calculate the cost of four hats
The cost of one hat is $4, so the cost of four hats is 4 * $4 = $16.
## Step 4: Calculate the total cost of the items
The total cost is the sum of the costs of the shirts, jeans, and hats: $15 + $20 + $16 = $51.
The final answer is: $51</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</si>
  <si>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</si>
  <si>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</si>
  <si>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 Step 1: Calculate the total number of bags transported
The pickup makes 20 trips, and each trip carries 10 bags. So, the total number of bags transported is 20 trips * 10 bags per trip = 200 bags.
## Step 2: Calculate the total weight of onions
Each bag weighs 50 kgs. To find the total weight of onions, we multiply the total number of bags by the weight of each bag: 200 bags * 50 kgs per bag = 10000 kgs.
The final answer is: ####10000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</si>
  <si>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</si>
  <si>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</si>
  <si>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 Step 1: Calculate the population of New York
To find the population of New York, we need to calculate two-thirds of the population of New England. New England has 2100000 people.
## Step 2: Calculate two-thirds of New England's population
Two-thirds of New England's population is (2/3) * 2100000.
## Step 3: Perform the calculation for two-thirds of New England's population
(2/3) * 2100000 = 1400000. So, New York has a population of 1400000 people.
## Step 4: Calculate the combined population of New York and New England
The combined population is the sum of the population of New York and New England, which is 1400000 + 2100000.
## Step 5: Perform the calculation for the combined population
1400000 + 2100000 = 3500000.
The final answer is: ####3500000</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</si>
  <si>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</si>
  <si>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</si>
  <si>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 Step 1: Determine the amount of marbles Miriam gave to her brother.
Miriam gave her brother 60 marbles.
## Step 2: Calculate the amount of marbles Miriam gave to her sister.
Miriam gave her sister twice the amount she gave her brother, which is 2 * 60 = 120 marbles.
## Step 3: Calculate the amount of marbles Miriam gave to her friend Savanna.
Miriam gave Savanna three times the amount she currently has, which is 3 * 30 = 90 marbles.
## Step 4: Calculate the total amount of marbles Miriam gave away.
The total amount given away is 60 + 120 + 90 = 270 marbles.
## Step 5: Calculate the amount of marbles Miriam started with.
To find out how many marbles Miriam started with, we need to add the marbles she currently has to the marbles she gave away. So, the initial amount is 30 (current marbles) + 270 (marbles given away) = 300 marbles.
The final answer is: ####300</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</si>
  <si>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</si>
  <si>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</si>
  <si>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 Step 1: Calculate the number of pieces of pepperoni.
Lisa uses 30 pieces of pepperoni for the pizza.
## Step 2: Calculate the number of pieces of ham.
She uses twice as many pieces of ham as pepperoni, so the number of pieces of ham is 2 * 30 = 60.
## Step 3: Calculate the number of pieces of sausage.
She uses 12 more pieces of sausage than pepperoni, so the number of pieces of sausage is 30 + 12 = 42.
## Step 4: Calculate the total number of pieces of meat.
The total number of pieces of meat is the sum of pepperoni, ham, and sausage, which is 30 + 60 + 42 = 132.
## Step 5: Calculate the number of pieces of meat per slice.
Since there are 6 slices of pizza and everything is distributed evenly, the number of pieces of meat per slice is 132 / 6 = 22.
The final answer is: ####22</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</si>
  <si>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</si>
  <si>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</si>
  <si>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 Step 1: Define the variables for the problem
Let's denote Markus's age as M, his son's age as S, and his grandson's age as G.
## Step 2: Translate the given information into equations
Since Markus is twice the age of his son, we have M = 2S.
Since Markus's son is twice the age of Markus's grandson, we have S = 2G.
The sum of their ages is 140 years, so M + S + G = 140.
## Step 3: Use the equations to express M and S in terms of G
From S = 2G, we can substitute S in the equation M = 2S to get M = 2(2G) = 4G.
Now we have M = 4G and S = 2G.
## Step 4: Substitute M and S in the sum equation to solve for G
Substituting M = 4G and S = 2G into M + S + G = 140 gives us 4G + 2G + G = 140.
This simplifies to 7G = 140.
## Step 5: Solve for G
Dividing both sides of the equation 7G = 140 by 7 gives G = 20.
The final answer is: ####20</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</si>
  <si>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</si>
  <si>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</si>
  <si>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 Step 1: Determine the amount of cream cheese used in relation to the sugar.
Since the ratio of sugar to cream cheese is 1:4, and Betty used 2 cups of sugar, she must have used 2 * 4 = 8 cups of cream cheese.
## Step 2: Calculate the amount of vanilla used based on the amount of cream cheese.
For every 2 cups of cream cheese, Betty uses 1 teaspoon of vanilla. Since she used 8 cups of cream cheese, she used 8 / 2 = 4 teaspoons of vanilla.
## Step 3: Determine the number of eggs used based on the amount of vanilla.
For every 1 teaspoon of vanilla, Betty uses 2 eggs. Since she used 4 teaspoons of vanilla, she used 4 * 2 = 8 eggs.
The final answer is: ####8</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</si>
  <si>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</si>
  <si>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</si>
  <si>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 Step 1: Calculate the total number of flowers available.
The florist has 75 narcissus flowers and 90 chrysanthemums, so the total number of flowers is 75 + 90 = 165.
## Step 2: Determine the number of bouquets that can be made with the total number of flowers.
Each bouquet contains 5 flowers, so to find out how many bouquets can be made, we divide the total number of flowers by the number of flowers per bouquet: 165 / 5 = 33.
The final answer is: ####33</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</si>
  <si>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</si>
  <si>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</si>
  <si>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</si>
  <si>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</si>
  <si>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</si>
  <si>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 Step 1: Calculate the age Diane will be when she turns 30
Diane is currently 16 years old, so when she turns 30, the number of years that will have passed is 30 - 16 = 14 years.
## Step 2: Determine the ages of Alex and Allison when Diane turns 30
When Diane turns 30, she will be half the age of Alex. This means Alex will be 30 * 2 = 60 years old. Since Diane will also be twice as old as Allison at that time, Allison will be 30 / 2 = 15 years old.
## Step 3: Calculate the current ages of Alex and Allison
Since 14 years will pass before Diane turns 30, we need to subtract 14 years from the ages of Alex and Allison at that time to find their current ages. Alex's current age is 60 - 14 = 46 years old. Allison's current age is 15 - 14 = 1 year old.
## Step 4: Calculate the sum of the current ages of Alex and Allison
The sum of the ages of Alex and Allison now is 46 + 1 = 47 years.
The final answer is: $\boxed{47}$</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</si>
  <si>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</si>
  <si>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</si>
  <si>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 490
To find the total number of students Adam will teach in 10 years, first, calculate the number of students he teaches in 9 years at the normal rate, then add the number of students he taught in the first year.
Normal rate: 50 students/year
Number of years at normal rate: 9 years
Students in 9 years = 50 students/year * 9 years = 450 students
First year: 40 students
Total students in 10 years = Students in 9 years + Students in the first year
Total students = 450 students + 40 students = 490 students
The final answer is: ####490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</si>
  <si>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</si>
  <si>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</si>
  <si>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 Step 1: Determine the number of cars given by the auntie and the uncle.
Auntie gave Olaf 6 toy cars, which is 1 more than the uncle. So, the uncle gave Olaf 6 - 1 = 5 toy cars.
## Step 2: Calculate the number of cars given by Grandpa.
Grandpa gave Olaf twice as many toy cars as the uncle. Since the uncle gave 5 cars, Grandpa gave 2 * 5 = 10 toy cars.
## Step 3: Determine the number of cars given by Mum and Dad.
Dad gave Olaf 10 toy cars, which is 5 less than Mum. So, Mum gave Olaf 10 + 5 = 15 toy cars.
## Step 4: Calculate the total number of cars given by all family members.
The total number of cars given by the family members is the sum of the cars given by Grandpa, uncle, auntie, Mum, and Dad. Total given = 10 (Grandpa) + 5 (uncle) + 6 (auntie) + 15 (Mum) + 10 (Dad) = 46 toy cars.
## Step 5: Calculate the total number of cars Olaf has after receiving the gifts.
Olaf initially had 150 toy cars. After receiving 46 more cars, he now has 150 + 46 = 196 toy cars.
The final answer is: ####196</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</si>
  <si>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</si>
  <si>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</si>
  <si>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 Step 1: Calculate the total number of tubes of lip gloss Marcy has.
Marcy has 6 tubs of lip gloss, and each tub holds 2 tubes of lip gloss. So, the total number of tubes of lip gloss is 6 * 2 = 12.
## Step 2: Calculate the total number of people Marcy can do makeup for with the lip gloss she has.
Each tube of lip gloss is enough for 3 people's makeup. Since Marcy has 12 tubes, she can do makeup for 12 * 3 people.
## Step 3: Calculate the total number of people.
Total number of people = 12 * 3 = 36.
The final answer is: ####36</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</si>
  <si>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</si>
  <si>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</si>
  <si>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 7</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</si>
  <si>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</si>
  <si>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</si>
  <si>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 Step 1: Calculate the total amount of money raised from selling chocolate oranges.
Nick sold 20 chocolate oranges for $10 each, so the total amount of money raised from selling chocolate oranges is 20 * $10 = $200.
## Step 2: Calculate the remaining amount of money needed to reach the goal.
Nick wants to raise $1000, and he has already raised $200 from selling chocolate oranges. So, the remaining amount of money needed is $1000 - $200 = $800.
## Step 3: Calculate the number of candy bars Nick needs to sell to reach his goal.
Each candy bar is sold for $5, and Nick needs to raise $800 more. To find out how many candy bars he needs to sell, we divide the remaining amount by the price of each candy bar: $800 / $5 = 160.
The final answer is: ####160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</si>
  <si>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</si>
  <si>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</si>
  <si>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 Step 1: Calculate the total number of seashells collected by Henry and Paul.
Henry collected 11 seashells and Paul collected 24 seashells, so together they collected 11 + 24 = 35 seashells.
## Step 2: Determine the number of seashells collected by Leo.
The total number of seashells initially collected by all three was 59. Since Henry and Paul collected 35, Leo must have collected 59 - 35 = 24 seashells.
## Step 3: Calculate the number of seashells Leo gave away.
Leo gave away a quarter of his collection. A quarter of 24 is 24 / 4 = 6 seashells.
## Step 4: Calculate the total number of seashells they have now.
Initially, they had 59 seashells. Leo gave away 6 seashells. So, the total number of seashells they have now is 59 - 6 = 53.
The final answer is: ####53</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</si>
  <si>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</si>
  <si>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</si>
  <si>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 Step 1: Calculate the amount of frosting needed for the layer cakes
To frost a layer cake, Paul uses 1 can of frosting. Since he needs to have 3 layer cakes ready, he will need 3 * 1 = 3 cans of frosting for the layer cakes.
## Step 2: Calculate the amount of frosting needed for the cupcakes
For a dozen cupcakes, Paul uses a half can of frosting. Since he needs 6 dozen cupcakes, he will need 6 * 0.5 = 3 cans of frosting for the cupcakes.
## Step 3: Calculate the amount of frosting needed for the single cakes
For a single cake, Paul uses a half can of frosting. Since he needs 12 single cakes, he will need 12 * 0.5 = 6 cans of frosting for the single cakes.
## Step 4: Calculate the amount of frosting needed for the pans of brownies
For a pan of brownies, Paul uses a half can of frosting. Since he needs 18 pans of brownies, he will need 18 * 0.5 = 9 cans of frosting for the brownies.
## Step 5: Calculate the total amount of frosting needed
To find the total amount of frosting needed, we add the amounts needed for each type of baked good: 3 (layer cakes) + 3 (cupcakes) + 6 (single cakes) + 9 (pans of brownies) = 21 cans of frosting.
The final answer is: ####21</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</si>
  <si>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</si>
  <si>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</si>
  <si>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 Step 1: Calculate the total amount earned from selling the red stamps.
Max sold 20 red stamps for $1.1 each, so the total amount earned from red stamps is 20 * $1.1 = $22.
## Step 2: Calculate the total amount earned from selling the blue stamps.
Max sold 80 blue stamps for $0.8 each, so the total amount earned from blue stamps is 80 * $0.8 = $64.
## Step 3: Calculate the total amount earned from selling the red and blue stamps.
The total amount earned from selling the red and blue stamps is $22 + $64 = $86.
## Step 4: Determine the amount needed to be earned from the yellow stamps to reach the total of $100.
To reach a total of $100, Max needs to earn $100 - $86 = $14 from the yellow stamps.
## Step 5: Calculate the price needed to be set for each yellow stamp.
Max has 7 yellow stamps, so to earn $14 from them, he needs to set the price for each yellow stamp at $14 / 7 = $2.
The final answer is: ####2</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</si>
  <si>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</si>
  <si>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</si>
  <si>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 Step 1: Calculate the total number of cookies in 8 boxes
To find the total number of cookies in 8 boxes, we multiply the number of cookies in one box by the number of boxes. Since each box has 12 cookies, 8 boxes will have 8 * 12 = 96 cookies.
## Step 2: Calculate the total number of cookies in 9 bags
To find the total number of cookies in 9 bags, we multiply the number of cookies in one bag by the number of bags. Since each bag has 7 cookies, 9 bags will have 9 * 7 = 63 cookies.
## Step 3: Find the difference in the number of cookies between 8 boxes and 9 bags
To find how many more cookies are in 8 boxes than in 9 bags, we subtract the total number of cookies in 9 bags from the total number of cookies in 8 boxes. So, 96 - 63 = 33.
The final answer is: $\boxed{33}$</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</si>
  <si>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</si>
  <si>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</si>
  <si>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 Step 1: Calculate the total number of coals burned.
To find out how long the grill ran, we first need to determine the total number of coals burned. Since the grill burned three bags of coals and each bag contains 60 coals, the total number of coals burned is 3 * 60 = 180 coals.
## Step 2: Determine the rate at which coals are burned.
The grill burns 15 coals every 20 minutes. This means the rate of coal burning is 15 coals / 20 minutes.
## Step 3: Calculate the time it took to burn the total number of coals.
To find out how long it took to burn 180 coals, we can set up a proportion based on the rate of coal burning. If 15 coals are burned every 20 minutes, then the time it takes to burn 180 coals can be calculated by setting up a ratio: (15 coals / 20 minutes) = (180 coals / x minutes), where x is the total time the grill ran.
## Step 4: Solve for x.
Rearranging the equation to solve for x gives us x = (180 coals * 20 minutes) / 15 coals. Simplifying this, x = 3600 / 15 = 240 minutes.
The final answer is: ####240</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</si>
  <si>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</si>
  <si>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</si>
  <si>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 Step 1: Calculate the total number of times Kara needs to take her medication in one week.
Kara takes her medication 3 times a day. There are 7 days in a week, so she takes her medication 3 * 7 = 21 times in one week.
## Step 2: Calculate the total number of times Kara needs to take her medication in two weeks.
Since Kara takes her medication 21 times in one week, in two weeks she would take it 21 * 2 = 42 times.
## Step 3: Calculate the number of times Kara forgot to take her medication.
Kara forgot twice on one day, so she missed 2 times.
## Step 4: Calculate the actual number of times Kara took her medication over the two weeks.
Kara was supposed to take her medication 42 times but forgot 2 times, so she actually took it 42 - 2 = 40 times.
## Step 5: Calculate the total amount of water Kara drank with her medication.
Kara drinks 4 ounces of water every time she takes her medication. Since she took her medication 40 times, she drank 4 * 40 = 160 ounces of water.
The final answer is: ####160</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</si>
  <si>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</si>
  <si>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</si>
  <si>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 Step 1: Calculate the number of postcards Bernie sells.
Bernie has 18 unique postcards and decides to sell half of them. Half of 18 is 9, so he sells 9 postcards.
## Step 2: Calculate the amount of money Bernie earns from selling postcards.
Bernie sells each postcard for $15. Since he sells 9 postcards, he earns 9 * $15 = $135.
## Step 3: Calculate the number of new postcards Bernie can buy with the earned money.
Bernie spends all the earned money, $135, to buy new postcards for $5 each. The number of new postcards he can buy is $135 / $5 = 27.
## Step 4: Calculate the total number of postcards Bernie has after all transactions.
Bernie initially had 18 postcards and sold 9, leaving him with 18 - 9 = 9 postcards. After buying 27 new postcards, he now has 9 + 27 = 36 postcards.
The final answer is: ####36</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</si>
  <si>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</si>
  <si>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</si>
  <si>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 Step 1: Calculate the number of years Devin taught Calculus.
Devin taught Calculus for 4 years.
## Step 2: Calculate the number of years Devin taught Algebra.
He taught Algebra for twice as many years as he taught Calculus, so 2 * 4 = 8 years.
## Step 3: Calculate the number of years Devin taught Statistics.
He taught Statistics for 5 times as long as he taught Algebra, so 5 * 8 = 40 years.
## Step 4: Calculate the total number of years Devin has taught.
Total years = years teaching Calculus + years teaching Algebra + years teaching Statistics = 4 + 8 + 40 = 52 years.
The final answer is: ####52</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</si>
  <si>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</si>
  <si>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</si>
  <si>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 Step 1: Calculate the volume of oil in the bowl
To find the volume of oil, we multiply the total volume of the bowl by the fraction that is filled with oil. The bowl holds 150 ml and is filled 2/3rds with oil. So, the volume of oil is 150 ml * (2/3) = 100 ml.
## Step 2: Calculate the volume of vinegar in the bowl
To find the volume of vinegar, we multiply the total volume of the bowl by the fraction that is filled with vinegar. The bowl holds 150 ml and is filled 1/3rd with vinegar. So, the volume of vinegar is 150 ml * (1/3) = 50 ml.
## Step 3: Calculate the weight of the oil
The weight of the oil is found by multiplying the volume of the oil by its weight per milliliter. The oil weighs 5 g/ml, and there are 100 ml of oil. So, the weight of the oil is 100 ml * 5 g/ml = 500 g.
## Step 4: Calculate the weight of the vinegar
The weight of the vinegar is found by multiplying the volume of the vinegar by its weight per milliliter. The vinegar weighs 4 g/ml, and there are 50 ml of vinegar. So, the weight of the vinegar is 50 ml * 4 g/ml = 200 g.
## Step 5: Calculate the total weight of the salad dressing
To find the total weight of the salad dressing, we add the weight of the oil and the weight of the vinegar. The weight of the oil is 500 g, and the weight of the vinegar is 200 g. So, the total weight of the salad dressing is 500 g + 200 g = 700 g.
The final answer is: ####700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</si>
  <si>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</si>
  <si>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</si>
  <si>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 Step 1: Define the problem and the known variables.
Bridget and Sarah together have $3, which is equivalent to 300 cents. Bridget has 50 cents more than Sarah.
## Step 2: Set up the equation based on the information given.
Let's denote the amount Sarah has as S cents. Since Bridget has 50 cents more than Sarah, Bridget has S + 50 cents. Together, they have 300 cents. So, the equation is S + (S + 50) = 300.
## Step 3: Solve the equation for S.
Combine like terms: 2S + 50 = 300.
Subtract 50 from both sides: 2S = 250.
Divide both sides by 2: S = 125.
The final answer is: ####125</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</si>
  <si>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</si>
  <si>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</si>
  <si>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 Step 1: Calculate the number of goals Kristin scored.
To find out how many goals Kristin scored, we need to subtract 24 from Layla's score. Layla scored 104 goals, so Kristin scored 104 - 24 = 80 goals.
## Step 2: Calculate the total number of goals scored by both Layla and Kristin.
The total number of goals scored by both Layla and Kristin is the sum of their individual scores. Total goals = Layla's goals + Kristin's goals = 104 + 80 = 184.
## Step 3: Calculate the average number of goals scored by Layla and Kristin.
To find the average, we divide the total number of goals by the number of people, which is 2. Average goals = Total goals / 2 = 184 / 2 = 92.
The final answer is: ####92</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</si>
  <si>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</si>
  <si>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</si>
  <si>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 Step 1: Calculate the maximum safe weight
To find the maximum safe weight, we need to calculate 20% of the weight bench's capacity and subtract that from the total capacity. 20% of 1000 pounds is 0.20 * 1000 = 200 pounds.
## Step 2: Calculate the maximum weight John can use
The maximum safe weight is 1000 - 200 = 800 pounds. This is the total weight that can be on the bench for safety.
## Step 3: Calculate the weight John can put on the bar
Since John weighs 250 pounds, we need to subtract his weight from the maximum safe weight to find out how much weight he can put on the bar. So, 800 - 250 = 550 pounds.
The final answer is: ####550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</si>
  <si>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</si>
  <si>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</si>
  <si>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 Step 1: Calculate the time spent combing the cat
To find the time spent combing the cat, we need to calculate 1/3 of the time spent petting the cat. Since Marcy spends 12 minutes petting her cat, we multiply 12 by 1/3.
## Step 2: Perform the multiplication
12 * (1/3) = 12/3 = 4 minutes spent combing the cat.
## Step 3: Add the time spent petting and combing the cat
To find the total time spent with the cat, we add the time spent petting (12 minutes) and the time spent combing (4 minutes).
## Step 4: Perform the addition
12 + 4 = 16 minutes.
The final answer is: ####16</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</si>
  <si>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</si>
  <si>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</si>
  <si>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 Step 1: Determine the amount of money Mary has collected.
Since Mary's collection is five times what Ken has, and Ken has $600, Mary has 5 * $600 = $3,000.
## Step 2: Determine the amount of money Scott has collected.
Since Mary's collection is three times Scott's funds, and Mary has $3,000, Scott has $3,000 / 3 = $1,000.
## Step 3: Calculate the total amount of money collected by the three.
The total amount collected is the sum of what Ken, Mary, and Scott have: $600 + $3,000 + $1,000 = $4,600.
## Step 4: Calculate by how much they have exceeded their goal.
The goal was to raise $4,000. They have exceeded this goal by $4,600 - $4,000 = $600.
The final answer is: ####600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</si>
  <si>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</si>
  <si>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</si>
  <si>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 Step 1: Calculate 3/4 of the tank's capacity
To find out how long it will take to fill the tank to 3/4 of its capacity, we first need to calculate what 3/4 of the tank's capacity is. The tank's capacity is 4000 gallons. So, 3/4 of 4000 gallons is (3/4) * 4000 = 3000 gallons.
## Step 2: Determine the rate at which the tank is being filled
The tank is being filled at a rate of 10 gallons per hour.
## Step 3: Calculate the time it will take to fill the tank to 3/4 of its capacity
To find out how long it will take to fill the tank to 3/4 of its capacity, we divide the amount of water needed to reach 3/4 capacity (3000 gallons) by the rate at which the tank is being filled (10 gallons per hour). So, the time it will take is 3000 / 10 = 300 hours.
The final answer is: ####300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</si>
  <si>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</si>
  <si>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</si>
  <si>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 Step 1: Calculate the time spent grooming each day
Jennifer has 2 dogs, and it takes her 20 minutes to groom each one. So, the total time spent grooming each day is 2 * 20 = 40 minutes.
## Step 2: Convert the daily grooming time to hours
Since there are 60 minutes in an hour, the daily grooming time in hours is 40 / 60 = 2/3 hours.
## Step 3: Calculate the total time spent grooming in 30 days
To find the total time spent grooming in 30 days, multiply the daily grooming time by 30. Total time = (2/3) * 30 = 20 hours.
The final answer is: $####20$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</si>
  <si>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</si>
  <si>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</si>
  <si>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 Step 1: Calculate the total time it normally takes to finish both the BS and Ph.D. programs.
The total time is 3 years for the BS + 5 years for the Ph.D. = 8 years.
## Step 2: Calculate 3/4ths of the total time to find out how long it takes Tom to finish.
To find 3/4ths of the total time, we multiply the total time by 3/4. So, 8 years * (3/4) = 6 years.
The final answer is: ####6</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</si>
  <si>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</si>
  <si>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</si>
  <si>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 Step 1: Calculate the number of apples produced in the first season.
The tree produced 200 apples in the first season.
## Step 2: Calculate the number of apples produced in the second season.
The tree made 20% fewer fruits in the second season. 20% of 200 is 0.2 * 200 = 40. So, the tree produced 200 - 40 = 160 apples in the second season.
## Step 3: Calculate the number of apples produced in the third season.
The tree's fruit production in the second season doubled during the third season. So, the tree produced 2 * 160 = 320 apples in the third season.
## Step 4: Calculate the total number of apples produced in the three seasons.
Total apples = 200 (first season) + 160 (second season) + 320 (third season) = 680.
The final answer is: ####680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</si>
  <si>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</si>
  <si>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</si>
  <si>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 Step 1: Calculate the time taken for the first route
To find the time taken for the first route, we use the formula time = distance / speed. For the first route, the distance is 1500 miles and the speed is 75 MPH. So, time = 1500 / 75 = 20 hours.
## Step 2: Calculate the time taken for the second route
Similarly, for the second route, the distance is 750 miles and the speed is 25 MPH. Using the same formula, time = 750 / 25 = 30 hours.
## Step 3: Determine the fastest route
Comparing the times for both routes, the first route takes 20 hours, while the second route takes 30 hours. Therefore, the fastest route is the first one.
## Step 4: State the time taken for the fastest route
The time taken for the fastest route, which is the first route, is 20 hours.
The final answer is: ####20</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</si>
  <si>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</si>
  <si>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</si>
  <si>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 Step 1: Determine the total number of eyes Oomyapeck had before giving 2 to his dog.
Oomyapeck eats 22 eyes and gives 2 to his dog, so he must have had 22 + 2 = 24 eyes in total.
## Step 2: Calculate the total number of fish based on the total number of eyes.
Since each fish has 2 eyes, the total number of fish can be calculated by dividing the total number of eyes by 2. total_fish = 24 / 2 = 12.
## Step 3: Determine the number of fish each person gets to eat.
The fish are split equally among the three of them, so each person gets 12 / 3 = 4 fish.
The final answer is: #### 4</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</si>
  <si>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</si>
  <si>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</si>
  <si>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 30</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</si>
  <si>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</si>
  <si>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</si>
  <si>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 Step 1: Calculate the number of balls that had holes in them.
40% of 100 balls had holes, so the number of balls with holes is 0.4 * 100 = 40.
## Step 2: Calculate the number of remaining balls after removing the ones with holes.
The number of remaining balls is 100 - 40 = 60.
## Step 3: Calculate the number of balls that were overinflated and exploded.
20% of the remaining 60 balls were overinflated, so the number of balls that exploded is 0.2 * 60 = 12.
## Step 4: Calculate the number of balls that were inflated successfully.
The number of balls inflated successfully is the number of remaining balls minus the ones that exploded, which is 60 - 12 = 48.
The final answer is: ####48</t>
  </si>
  <si>
    <t>It takes 20 minutes for John to go to the bathroom 8 times.  How long would it take to go 6 times?</t>
  </si>
  <si>
    <t>He spends 20/8=&lt;&lt;20/8=2.5&gt;&gt;2.5 minutes each time he goes in
So it would take 2.5*6=&lt;&lt;2.5*6=15&gt;&gt;15 minutes to go 6 times
#### 15</t>
  </si>
  <si>
    <t>## 15</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</si>
  <si>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</si>
  <si>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</si>
  <si>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 Step 1: Determine the total volume of soda in the 2-liter bottle in milliliters.
Since there are 1,000 ml in 1 liter, a 2-liter bottle contains 2 * 1,000 ml = 2,000 ml of soda.
## Step 2: Calculate how many days the 2-liter bottle of soda will last.
Dana drinks 500 ml of soda each day. To find out how many days the 2-liter bottle will last, we divide the total volume of the 2-liter bottle by the amount Dana drinks each day: 2,000 ml / 500 ml = 4 days.
The final answer is: ####4</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</si>
  <si>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</si>
  <si>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</si>
  <si>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 Step 1: Calculate the cost of 2 liters of mustard oil.
The cost of 2 liters of mustard oil is 2 * $13 = $26.
## Step 2: Calculate the cost of 3 pounds of gluten-free penne pasta.
The cost of 3 pounds of gluten-free penne pasta is 3 * $4 = $12.
## Step 3: Calculate the cost of 1 pound of pasta sauce.
The cost of 1 pound of pasta sauce is 1 * $5 = $5.
## Step 4: Calculate the total cost of the groceries.
The total cost of the groceries is $26 + $12 + $5 = $43.
## Step 5: Calculate how much money Jerry will have left after grocery shopping.
Jerry will have $50 - $43 = $7 left after grocery shopping.
The final answer is: ####7</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</si>
  <si>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</si>
  <si>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</si>
  <si>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 Step 1: Determine Mandy's brother's age
Mandy's brother is 4 times as old as Mandy, and since Mandy is 3 years old, her brother is 4 * 3 = 12 years old.
## Step 2: Calculate Mandy's sister's age
Mandy's sister is 5 years younger than her brother, so her sister is 12 - 5 = 7 years old.
## Step 3: Find the age difference between Mandy and her sister
The age difference between Mandy and her sister is 7 - 3 = 4 years.
The final answer is: $####4$</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</si>
  <si>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</si>
  <si>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</si>
  <si>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 Step 1: Calculate the revenue made from selling the pints of strawberries on sale.
The supermarket made $216 from selling 54 pints of strawberries on sale.
## Step 2: Determine the revenue they would have made without the sale.
They would have made $216 + $108 = $324 if the pints were not on sale.
## Step 3: Calculate the price per pint of strawberries on sale.
Price per pint on sale = Total revenue on sale / Number of pints sold = $216 / 54 = $4.
## Step 4: Calculate the price per pint of strawberries without the sale.
Price per pint without sale = Total revenue without sale / Number of pints sold = $324 / 54 = $6.
## Step 5: Find the difference in price per pint between the sale and non-sale prices.
Difference in price = Price per pint without sale - Price per pint on sale = $6 - $4 = $2.
The final answer is: ####2</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</si>
  <si>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</si>
  <si>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</si>
  <si>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 Step 1: Calculate the total amount of couscous received in the first two shipments.
The first shipment was 7 pounds and the second shipment was 13 pounds, so the total from these two shipments is 7 + 13 = 20 pounds.
## Step 2: Add the amount of couscous received in the next day's shipment to the total from the first two shipments.
The next day's shipment was 45 pounds, so the total amount of couscous received is 20 + 45 = 65 pounds.
## Step 3: Determine how many dishes can be made with the total amount of couscous received.
It takes 5 pounds of couscous to make a dish, so the number of dishes that can be made is 65 / 5 = 13.
The final answer is: ####13</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</si>
  <si>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</si>
  <si>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</si>
  <si>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 Step 1: Calculate the time spent walking dogs on Monday
On Monday, Charlotte walks 4 poodles and 2 Chihuahuas. It takes 2 hours to walk a poodle and 1 hour to walk a Chihuahua. So, the total time spent walking dogs on Monday is (4 poodles * 2 hours/poodle) + (2 Chihuahuas * 1 hour/Chihuahua) = 8 + 2 = 10 hours.
## Step 2: Calculate the time spent walking dogs on Wednesday
On Wednesday, Charlotte walks 4 Labradors. It takes 3 hours to walk a Labrador. So, the total time spent walking dogs on Wednesday is 4 Labradors * 3 hours/Labrador = 12 hours.
## Step 3: Calculate the total time spent walking dogs on Monday and Wednesday
The total time spent walking dogs on Monday and Wednesday is 10 hours + 12 hours = 22 hours.
## Step 4: Calculate the remaining time for walking dogs on Tuesday
Charlotte has a total of 32 hours for dog walking. After walking dogs on Monday and Wednesday, she has 32 - 22 = 10 hours left for Tuesday.
## Step 5: Calculate the time spent walking Chihuahuas on Tuesday
On Tuesday, Charlotte walks the same amount of Chihuahuas as on Monday, which is 2 Chihuahuas. It takes 1 hour to walk a Chihuahua. So, the total time spent walking Chihuahuas on Tuesday is 2 Chihuahuas * 1 hour/Chihuahua = 2 hours.
## Step 6: Calculate the remaining time for walking poodles on Tuesday
After walking Chihuahuas on Tuesday, Charlotte has 10 - 2 = 8 hours left for walking poodles.
## Step 7: Calculate the number of poodles Charlotte can walk on Tuesday
It takes 2 hours to walk a poodle. With 8 hours available, Charlotte can walk 8 / 2 = 4 poodles on Tuesday.
The final answer is: ####4</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</si>
  <si>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</si>
  <si>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</si>
  <si>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 Step 1: Define the variables
Let's denote the length of Bill's eel as B and the length of Jenna's eel as J. We know that J = 1/3 * B.
## Step 2: Set up the equation based on the given information
The combined length of their eels is 64 inches, so we can write the equation as B + J = 64. Substituting J from step 1, we get B + 1/3 * B = 64.
## Step 3: Solve the equation for B
Combining like terms, we have 4/3 * B = 64. To solve for B, we multiply both sides by 3/4, which gives us B = 64 * 3/4 = 48.
## Step 4: Find the length of Jenna's eel
Now that we know the length of Bill's eel, we can find the length of Jenna's eel using the relationship J = 1/3 * B. Substituting B = 48, we get J = 1/3 * 48 = 16.
The final answer is: ####16</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</si>
  <si>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</si>
  <si>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</si>
  <si>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 5
The Sterling Auto Store has 500 cars for sale. They have 10 sales professionals, and each salesperson sells 10 cars per month. So, the total number of cars sold per month is 10 * 10 = 100. To find the number of months it will take to sell all the cars, we divide the total number of cars by the number of cars sold per month: 500 / 100 = 5.</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</si>
  <si>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</si>
  <si>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</si>
  <si>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 Step 1: Calculate the speed of the second snail
The second snail's speed is twice the speed of the first snail, which is 2 feet per minute. So, the second snail's speed is 2 * 2 = 4 feet per minute.
## Step 2: Calculate the speed of the third snail
The third snail's speed is five times the speed of the second snail, which is 4 feet per minute. So, the third snail's speed is 5 * 4 = 20 feet per minute.
## Step 3: Calculate the distance of the sidewalk
The first snail took 20 minutes to travel the sidewalk at a speed of 2 feet per minute. Distance = speed * time = 2 * 20 = 40 feet.
## Step 4: Calculate the time it took for the third snail to travel the sidewalk
Time = distance / speed. For the third snail, time = 40 feet / 20 feet per minute = 2 minutes.
The final answer is: ####2</t>
  </si>
  <si>
    <t>At a pool party, there are 4 pizzas cut into 12 slices each.  If the guests eat 39 slices, how many slices are left?</t>
  </si>
  <si>
    <t>There’s a total of 4 x 12 = &lt;&lt;4*12=48&gt;&gt;48 slices.
After the guests eat, there are 48 - 39 = &lt;&lt;48-39=9&gt;&gt;9 pieces.
#### 9</t>
  </si>
  <si>
    <t>## Step 1: Calculate the total number of slices
There are 4 pizzas, each cut into 12 slices. So, the total number of slices is 4 * 12 = 48.
## Step 2: Calculate the number of slices left
The guests eat 39 slices. To find out how many slices are left, we subtract the number of slices eaten from the total number of slices. slices_left = total_slices - slices_eaten = 48 - 39 = 9.
The final answer is: ####9</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</si>
  <si>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</si>
  <si>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</si>
  <si>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 6</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</si>
  <si>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</si>
  <si>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</si>
  <si>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 Step 1: Determine the original price of the art piece.
The original price of the art piece was $4000.
## Step 2: Calculate the future price of the art piece.
In another three years, the art piece will be three times as much as it was when Rosie purchased it. So, the future price will be 3 * $4000 = $12000.
## Step 3: Calculate the increase in price.
The increase in price is the difference between the future price and the original price. Increase = Future price - Original price = $12000 - $4000 = $8000.
The final answer is: ####8000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</si>
  <si>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</si>
  <si>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</si>
  <si>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 420.00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</si>
  <si>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</si>
  <si>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</si>
  <si>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 Step 1: Calculate the cost of the local call to Freddy's dad.
The local call to Freddy's dad lasted for 45 minutes. Since local calls cost 5 cents a minute, the total cost for this call is 45 * 5 = 225 cents.
## Step 2: Convert the cost of the local call from cents to dollars.
To convert cents to dollars, we divide by 100. So, the cost of the local call in dollars is 225 / 100 = 2.25 dollars.
## Step 3: Calculate the cost of the international call to Freddy's brother.
The international call to Freddy's brother lasted for 31 minutes. Since international calls cost 25 cents a minute, the total cost for this call is 31 * 25 = 775 cents.
## Step 4: Convert the cost of the international call from cents to dollars.
To convert cents to dollars, we divide by 100. So, the cost of the international call in dollars is 775 / 100 = 7.75 dollars.
## Step 5: Calculate the total cost of both calls.
To find the total cost, we add the cost of the local call and the international call. So, the total cost is 2.25 + 7.75 = 10 dollars.
The final answer is: $####10$</t>
  </si>
  <si>
    <t>James buys 5 packs of beef that are 4 pounds each.  The price of beef is $5.50 per pound.  How much did he pay?</t>
  </si>
  <si>
    <t>He bought 5*4=&lt;&lt;5*4=20&gt;&gt;20 pounds of beef
So he paid 20*5.5=$&lt;&lt;20*5.5=110&gt;&gt;110
#### 110</t>
  </si>
  <si>
    <t>## 110.00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</si>
  <si>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</si>
  <si>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</si>
  <si>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 Step 1: Calculate the total cost of the meal for Billy and Jenny.
The total cost for each person is $20 (steak) + $5 (drink) = $25. Since there are two people, the total cost for both is $25 * 2 = $50.
## Step 2: Calculate the total tip for the meal.
A 20% tip on a $50 meal is 0.20 * $50 = $10.
## Step 3: Determine 80% of the total tip that Billy wants to cover.
80% of the $10 tip is 0.80 * $10 = $8.
The final answer is: $8</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</si>
  <si>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</si>
  <si>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</si>
  <si>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 Step 1: Calculate the number of employees in the first bus.
To find the number of employees in the first bus, we need to calculate 60% of the bus's capacity, which is 150. So, the number of employees in the first bus is 0.6 * 150 = 90.
## Step 2: Calculate the number of employees in the second bus.
To find the number of employees in the second bus, we need to calculate 70% of the bus's capacity, which is also 150. So, the number of employees in the second bus is 0.7 * 150 = 105.
## Step 3: Calculate the total number of employees in both buses.
To find the total number of employees, we need to add the number of employees in the first bus to the number of employees in the second bus. So, the total number of employees is 90 + 105 = 195.
The final answer is: ####195</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</si>
  <si>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</si>
  <si>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</si>
  <si>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To find out how many kilograms of grapes Borris uses in a year, we first need to calculate his current yearly usage and then apply the 20% increase.
1. Current usage every 6 months: 90 kilograms
2. Current yearly usage: Since there are 2 six-month periods in a year, we multiply the 6-month usage by 2.
   - 90 kilograms * 2 = 180 kilograms per year
3. Increase production by 20%: To find 20% of 180 kilograms, we multiply 180 by 0.20.
   - 180 * 0.20 = 36 kilograms
4. Add the 20% increase to the current yearly usage:
   - 180 kilograms + 36 kilograms = 216 kilograms
So, after increasing his production by 20%, Borris will need 216 kilograms of grapes in a year.
####216</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</si>
  <si>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</si>
  <si>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</si>
  <si>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##7</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</si>
  <si>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</si>
  <si>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</si>
  <si>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 Step 1: Calculate the cost of the T-shirts
The cost of six T-shirts at $8 each is 6 * $8 = $48.
## Step 2: Calculate the cost of the sweaters
The cost of four sweaters at $18 each is 4 * $18 = $72.
## Step 3: Calculate the discounted cost of the jackets
The original price of one jacket is $80, but it's on sale with a 10% discount. The discount amount is $80 * 0.10 = $8. So, the discounted price of one jacket is $80 - $8 = $72. For five jackets, the cost is 5 * $72 = $360.
## Step 4: Calculate the total cost of all items before tax
The total cost before tax is $48 (T-shirts) + $72 (sweaters) + $360 (jackets) = $480.
## Step 5: Calculate the sales tax
The sales tax is 5% of the total cost before tax, which is $480 * 0.05 = $24.
## Step 6: Calculate the total cost including the sales tax
The total cost including the sales tax is $480 (total cost before tax) + $24 (sales tax) = $504.
The final answer is: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</si>
  <si>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</si>
  <si>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</si>
  <si>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 Step 1: Calculate the total number of players Mona grouped with.
Since Mona joins groups with 4 other players, and she joined 9 groups, the total number of players she grouped with is 9 groups * 4 players per group = 36 players.
## Step 2: Subtract the repeated players to find the unique number of players.
We know that one group included 2 players she had grouped with before, and another group included 1 player she had grouped with before. This means that out of the 36 players, 3 players were repeats. To find the unique number of players, we subtract these repeats: 36 players - 3 repeated players = 33 unique players.
The final answer is: $\boxed{33}$</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</si>
  <si>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</si>
  <si>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</si>
  <si>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 Step 1: Calculate the number of questions Fiona completed in 2 hours.
Fiona completed 36 math questions in an hour. So, in 2 hours, she completed 36 * 2 = 72 questions.
## Step 2: Calculate the number of questions Shirley completed in 2 hours.
Shirley completed twice as many math questions as Fiona in an hour, which means she completed 36 * 2 = 72 questions in an hour. So, in 2 hours, Shirley completed 72 * 2 = 144 questions.
## Step 3: Calculate the number of questions completed by Fiona and Shirley in an hour.
The sum of Fiona and Shirley's math questions in an hour is 36 + 72 = 108 questions.
## Step 4: Calculate the number of questions Kiana completed in an hour.
Kiana completed half of the sum of Fiona and Shirley's math questions in an hour, which is 108 / 2 = 54 questions.
## Step 5: Calculate the number of questions Kiana completed in 2 hours.
Since Kiana completed 54 questions in an hour, in 2 hours, she completed 54 * 2 = 108 questions.
## Step 6: Calculate the total number of questions completed by all three girls in 2 hours.
The total number of questions completed by Fiona, Shirley, and Kiana in 2 hours is 72 + 144 + 108 = 324 questions.
The final answer is: ####324</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</si>
  <si>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</si>
  <si>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</si>
  <si>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 Step 1: Determine the number of squats done on the first day.
The number of squats done on the first day is given as 30.
## Step 2: Calculate the number of squats done on the second day.
On the second day, the number of squats increases by 5, so it will be 30 + 5 = 35 squats.
## Step 3: Calculate the number of squats done on the third day.
On the third day, the number of squats increases by 5 again, so it will be 35 + 5 = 40 squats.
## Step 4: Calculate the number of squats done on the fourth day.
On the fourth day, the number of squats increases by 5 once more, so it will be 40 + 5 = 45 squats.
The final answer is: ####45</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</si>
  <si>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</si>
  <si>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</si>
  <si>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 45.45</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</si>
  <si>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</si>
  <si>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</si>
  <si>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 Step 1: Calculate the total capacity of one container
To find the total capacity of one container, we need to determine what 100% of the container's capacity is, given that 20% is equal to 8 liters. This can be calculated by dividing 8 liters by 20% (or 0.20).
## Step 2: Perform the calculation for one container's capacity
Capacity of one container = 8 liters / 0.20 = 40 liters.
## Step 3: Calculate the total capacity of 40 such containers
To find the total capacity of 40 containers, we multiply the capacity of one container by 40. Total capacity = 40 liters * 40.
## Step 4: Perform the multiplication
Total capacity = 40 * 40 = 1600 liters.
The final answer is: ####1600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</si>
  <si>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</si>
  <si>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</si>
  <si>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 Step 1: Calculate the total number of stars needed to fill 4 bottles.
To find the total number of stars needed, we multiply the number of stars required to fill one jar by the number of jars. total_stars_needed = 85 * 4 = 340.
## Step 2: Calculate how many more stars Luke must make.
To find out how many more stars Luke needs to make, we subtract the number of stars he has already made from the total number of stars needed. more_stars_needed = total_stars_needed - 33 = 340 - 33 = 307.
The final answer is: ####307</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</si>
  <si>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</si>
  <si>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</si>
  <si>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 Step 1: Calculate the number of M&amp;Ms Amy has.
Amy has 7 times as many M&amp;Ms as chocolate bars. Since she has 5 chocolate bars, she has 5 * 7 = 35 M&amp;Ms.
## Step 2: Calculate the number of marshmallows Amy has.
Amy has 6 times as many marshmallows as M&amp;Ms. Since she has 35 M&amp;Ms, she has 35 * 6 = 210 marshmallows.
## Step 3: Calculate the total number of candies Amy has.
Amy has 5 chocolate bars, 35 M&amp;Ms, and 210 marshmallows. So, the total number of candies is 5 + 35 + 210 = 250.
## Step 4: Calculate the number of baskets Amy can fill.
Each basket can hold 10 candies. To find out how many baskets Amy can fill, we divide the total number of candies by 10. So, 250 / 10 = 25.
The final answer is: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</si>
  <si>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</si>
  <si>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</si>
  <si>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 Step 1: Define the variables for Rachel and Leah's ages.
Let's denote Rachel's age as R and Leah's age as L. We know that R = L + 4.
## Step 2: Write the equation based on the given information about the sum of their ages.
The sum of their ages is 34, so we can write the equation as R + L = 34.
## Step 3: Substitute the expression for R from step 1 into the equation from step 2 to solve for L.
Substituting R = L + 4 into the equation R + L = 34 gives us L + 4 + L = 34, which simplifies to 2L + 4 = 34.
## Step 4: Solve the equation for L.
Subtract 4 from both sides of the equation 2L + 4 = 34 to get 2L = 30. Then, divide both sides by 2 to find L = 15.
## Step 5: Find Rachel's age using the relationship between Rachel and Leah's ages.
Since R = L + 4 and we found L = 15, then R = 15 + 4 = 19.
The final answer is: ####19</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</si>
  <si>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</si>
  <si>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</si>
  <si>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 9000.00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</si>
  <si>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</si>
  <si>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</si>
  <si>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 Step 1: Calculate the number of buttons Mark started with.
Mark started with 14 buttons.
## Step 2: Calculate the number of buttons Shane gave to Mark.
Shane gave Mark 3 times the amount Mark started with, so 3 * 14 = 42 buttons.
## Step 3: Calculate the total number of buttons Mark had after receiving buttons from Shane.
Mark now has 14 (initial buttons) + 42 (buttons from Shane) = 56 buttons.
## Step 4: Calculate the number of buttons Mark gave to Sam.
Mark gave Sam half of his buttons, so 56 / 2 = 28 buttons.
## Step 5: Calculate the number of buttons Mark ended up with.
Mark ended up with 56 - 28 = 28 buttons.
The final answer is: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</si>
  <si>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</si>
  <si>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</si>
  <si>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 Step 1: Calculate the total amount of ground beef purchased
Maurice purchases 4 packages of ground beef, with each package weighing 5 pounds. So, the total amount of ground beef purchased is 4 * 5 = 20 pounds.
## Step 2: Determine the number of burgers that can be made
Each burger requires 2 pounds of ground beef. To find out how many burgers Maurice can make, we divide the total amount of ground beef by the amount needed for each burger: 20 / 2 = 10 burgers.
## Step 3: Calculate the number of people Maurice can invite
Since Maurice also wants a burger for himself, we need to subtract 1 from the total number of burgers to account for Maurice's burger. Therefore, Maurice can invite 10 - 1 = 9 people to the cookout.
The final answer is: ####9</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</si>
  <si>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</si>
  <si>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</si>
  <si>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 5000 - 276 = 4724, 5000 + 4724 = 9724
#### 9724</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</si>
  <si>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</si>
  <si>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</si>
  <si>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 Step 1: Determine the time it takes Serena to read the book.
Since Emery can read five times as fast as Serena, it takes Serena five times longer to read the book than it takes Emery. Emery takes 20 days to read the book.
## Step 2: Calculate the time it takes Serena to read the book.
To find out how long it takes Serena to read the book, we multiply the time it takes Emery by 5. So, 20 days * 5 = 100 days for Serena to read the book.
## Step 3: Calculate the average number of days it takes both Emery and Serena to read the book.
To find the average, we add the number of days it takes each of them to read the book and then divide by 2. The formula for average is (Emery's time + Serena's time) / 2.
## Step 4: Apply the numbers to the formula.
Emery's time is 20 days, and Serena's time is 100 days. So, the average is (20 + 100) / 2.
## Step 5: Perform the calculation.
(20 + 100) = 120. Then, 120 / 2 = 60.
The final answer is: ####60</t>
  </si>
  <si>
    <t>A band's members each earn $20 per gig. If there are 4 members and they've earned $400, how many gigs have they played?</t>
  </si>
  <si>
    <t>The band earns $80 per gig because 4 x 20 = &lt;&lt;4*20=80&gt;&gt;80
They played 5 gigs because 400 / 80 = &lt;&lt;400/80=5&gt;&gt;5
#### 5</t>
  </si>
  <si>
    <t>## 20
To find the total number of gigs played, we need to divide the total earnings by the earnings per gig per member and then divide by the number of members. 
Total earnings = $400
Earnings per gig per member = $20
Number of members = 4
Total earnings per gig = Earnings per gig per member * Number of members
Total earnings per gig = $20 * 4
Total earnings per gig = $80
Number of gigs = Total earnings / Total earnings per gig
Number of gigs = $400 / $80
Number of gigs = 5
The final answer is: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</si>
  <si>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</si>
  <si>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</si>
  <si>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 Step 1: Convert the length of the fence from yards to feet
Since there are 3 feet in a yard, the length of the fence in feet is 25 yards * 3 feet/yard = 75 feet.
## Step 2: Calculate the number of trees that can fit along the fence
Each tree will be 1.5 feet wide at maturity. To find out how many trees can fit along the 75-foot fence, we divide the total length of the fence by the width of each tree: 75 feet / 1.5 feet/tree = 50 trees.
## Step 3: Calculate the total cost of the trees
Each tree costs $8.00. To find the total cost, we multiply the number of trees by the cost per tree: 50 trees * $8.00/tree = $400.00.
The final answer is: ####400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</si>
  <si>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</si>
  <si>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</si>
  <si>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 Step 1: Calculate the total distance covered by the checkpoints
The total distance of the marathon is 26 miles, and there are checkpoints at 1 mile from the start and 1 mile from the finish. This means the distance between the first and last checkpoint is 26 - 1 - 1 = 24 miles.
## Step 2: Determine the number of intervals between checkpoints
Since there are four checkpoints, there are 4 intervals between them, including the interval from the start to the first checkpoint and the interval from the last checkpoint to the finish. However, for calculating the distance between consecutive checkpoints, we consider the intervals between the checkpoints themselves, not including the start and finish points. Thus, we have 4 checkpoints, which creates 3 intervals between them.
## Step 3: Calculate the distance between each checkpoint
To find the distance between each checkpoint, we divide the total distance between the first and last checkpoint by the number of intervals between the checkpoints. The distance between each checkpoint = total distance between first and last checkpoint / number of intervals = 24 miles / 4.
## Step 4: Perform the division to find the distance
24 miles / 4 = 6 miles.
The final answer is: ####6</t>
  </si>
  <si>
    <t>James buys 100 tennis balls and gives half of them away.  The other half he puts into 5 large containers.  How many tennis balls go in each container?</t>
  </si>
  <si>
    <t>He keeps 100/2=&lt;&lt;100/2=50&gt;&gt;50 tennis balls
So 50/5=&lt;&lt;50/5=10&gt;&gt;10 go in each container
#### 10</t>
  </si>
  <si>
    <t>##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</si>
  <si>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</si>
  <si>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</si>
  <si>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 Step 1: Calculate the volume of cooked spinach
First, we need to find 20% of the initial volume of the spinach, which is 40 ounces. To do this, we multiply 40 by 0.20.
## Step 2: Perform the calculation for the volume of cooked spinach
Volume of cooked spinach = 40 * 0.20 = 8 ounces.
## Step 3: Calculate the total volume of the quiche
Now, we add the volume of the cooked spinach to the volumes of cream cheese and eggs to find the total volume of the quiche. Total volume = volume of cooked spinach + volume of cream cheese + volume of eggs.
## Step 4: Perform the calculation for the total volume of the quiche
Total volume = 8 ounces + 6 ounces + 4 ounces = 18 ounces.
The final answer is: ####18</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</si>
  <si>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</si>
  <si>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</si>
  <si>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 Step 1: Calculate the total amount spent on the chairs
To find out how much was spent on the chairs, we subtract the cost of the table from the total amount spent. Total spent = $56, table cost = $34. So, the amount spent on chairs = Total spent - table cost = $56 - $34 = $22.
## Step 2: Determine the cost of one chair
Since Nadine bought 2 chairs and each chair costs the same amount, we divide the total amount spent on chairs by the number of chairs to find the cost of one chair. Cost of one chair = Total spent on chairs / Number of chairs = $22 / 2 = $11.
The final answer is: ####11</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</si>
  <si>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</si>
  <si>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</si>
  <si>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 Step 1: Calculate the total number of male adults and children.
The total number of male adults and children is 80 (children) + 60 (male adults) = 140.
## Step 2: Subtract the total number of male adults and children from the total number of people in the church to find the number of female adults.
The number of female adults is 200 (total people) - 140 (male adults and children) = 60.
The final answer is: ####60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</si>
  <si>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</si>
  <si>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</si>
  <si>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 Step 1: Calculate the number of planks Colbert has from his storage.
A quarter of the 200 planks come from Colbert's storage. So, the number of planks from his storage is 200 * (1/4) = 50.
## Step 2: Calculate the number of planks Colbert gets from his parents.
Half of the 200 planks come from Colbert's parents. So, the number of planks from his parents is 200 * (1/2) = 100.
## Step 3: Calculate the total number of planks Colbert has from his storage, parents, and friends.
Colbert has 50 planks from his storage, 100 planks from his parents, and 20 planks from his friends. So, the total number of planks he already has is 50 + 100 + 20 = 170.
## Step 4: Calculate the number of planks Colbert needs to buy from the store.
The total number of planks needed for the treehouse is 200. Colbert already has 170 planks. So, the number of planks he needs to buy from the store is 200 - 170 = 30.
The final answer is: ####30</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</si>
  <si>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</si>
  <si>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</si>
  <si>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 Step 1: Calculate the total earnings for the first month.
Sam earned $200 in the first month.
## Step 2: Calculate the total earnings for the second month.
Sam earned $150 more than the first month, so he earned $200 + $150 = $350 in the second month.
## Step 3: Calculate the total earnings for both months.
Total earnings = $200 (first month) + $350 (second month) = $550.
## Step 4: Calculate the total hours spent on tutoring for both months.
Since Sam earns $10 an hour, the total hours spent on tutoring can be calculated by dividing the total earnings by the hourly wage: Total hours = Total earnings / Hourly wage = $550 / $10 = 55 hours.
The final answer is: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</si>
  <si>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</si>
  <si>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</si>
  <si>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 Step 1: Determine the amount of money Jethro has.
Since Patricia has $60, which is 3 times as much as Jethro, we can find Jethro's amount by dividing Patricia's money by 3. Jethro's money = 60 / 3 = 20.
## Step 2: Calculate the amount of money Carmen has.
Carmen needs $7 more to have twice the amount of money that Jethro has. Since Jethro has $20, twice that amount is 2 * 20 = 40. Therefore, Carmen currently has 40 - 7 = 33.
## Step 3: Find the sum of all their money.
To find the total sum, we add the amounts of money that Carmen, Jethro, and Patricia have. Total sum = Carmen's money + Jethro's money + Patricia's money = 33 + 20 + 60.
## Step 4: Calculate the total sum.
Total sum = 33 + 20 + 60 = 113.
The final answer is: ####113</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</si>
  <si>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</si>
  <si>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</si>
  <si>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 Step 1: Calculate the number of brownies Annie gave to the school administrator.
Annie started with 20 brownies and gave half of them to the school administrator. Half of 20 is 20 / 2 = 10 brownies.
## Step 2: Determine the number of brownies Annie had left after giving some to the school administrator.
After giving 10 brownies to the school administrator, Annie had 20 - 10 = 10 brownies left.
## Step 3: Calculate the number of brownies Annie gave to Carl.
Annie gave half of her remaining brownies to Carl. Half of 10 is 10 / 2 = 5 brownies.
## Step 4: Determine the number of brownies Annie had left after giving some to Carl.
After giving 5 brownies to Carl, Annie had 10 - 5 = 5 brownies left.
## Step 5: Calculate the number of brownies Annie had left after giving 2 to Simon.
Annie gave 2 brownies to Simon. So, she had 5 - 2 = 3 brownies left.
The final answer is: ####3</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</si>
  <si>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</si>
  <si>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</si>
  <si>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 48.00</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</si>
  <si>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</si>
  <si>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</si>
  <si>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To find the total amount of money saved, we need to calculate the value of each type of coin and add them together.
Teagan saved 200 pennies. Since 1 penny = $0.01, the total value of Teagan's savings is:
200 pennies * $0.01 = $2
Rex has 100 nickels. Since 1 nickel = $0.05, the total value of Rex's savings is:
100 nickels * $0.05 = $5
Toni has 330 dimes. Since 1 dime = $0.10, the total value of Toni's savings is:
330 dimes * $0.10 = $33
Now, let's add the total value of each child's savings:
$2 (Teagan) + $5 (Rex) + $33 (Toni) = $40
The final answer is: ####40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</si>
  <si>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</si>
  <si>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</si>
  <si>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 Step 1: Calculate the number of cakes Gary can make with 4 pounds of flour.
To find out how many cakes Gary can make, we divide the amount of flour he has for cakes (4 pounds) by the amount of flour each cake requires (0.5 pounds). So, 4 / 0.5 = 8 cakes.
## Step 2: Calculate the number of cupcakes Gary can make with 2 pounds of flour.
To find out how many cupcakes Gary can make, we divide the amount of flour he has for cupcakes (2 pounds) by the amount of flour each cupcake requires (1/5 pounds). First, convert 1/5 to a decimal: 1/5 = 0.2 pounds. Then, 2 / 0.2 = 10 cupcakes.
## Step 3: Calculate the total earnings from selling the cakes.
Gary can make 8 cakes and will sell each for $2.5. So, the total earnings from cakes will be 8 * $2.5 = $20.
## Step 4: Calculate the total earnings from selling the cupcakes.
Gary can make 10 cupcakes and will sell each for $1. So, the total earnings from cupcakes will be 10 * $1 = $10.
## Step 5: Calculate Gary's total earnings from the bake sale.
Add the earnings from the cakes and the cupcakes to find the total earnings. $20 (from cakes) + $10 (from cupcakes) = $30.
The final answer is: ####30</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</si>
  <si>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</si>
  <si>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</si>
  <si>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 168
To find the total number of eggs John gets in a week, first, calculate the total number of emus. Since there are 4 pens with 6 emus in each, the total number of emus is 4 * 6 = 24.
Given that half of the emus are females, the number of female emus is 24 / 2 = 12.
Each female emu lays 1 egg per day. So, in a day, John gets 12 eggs. To find out how many eggs he gets in a week, multiply the daily number of eggs by 7 (since there are 7 days in a week).
12 eggs/day * 7 days/week = 84 eggs/week.
The final answer is: ####84</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</si>
  <si>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</si>
  <si>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</si>
  <si>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To find out how many kilograms of dog food Elise already had, we need to subtract the total weight of the bags she bought from the total weight she now has.
Total weight now = 40kg
Weight of bags bought = 15kg + 10kg = 25kg
Weight of dog food Elise already had = Total weight now - Weight of bags bought
= 40kg - 25kg
= 15kg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</si>
  <si>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</si>
  <si>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</si>
  <si>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 Step 1: Determine Anika's and Maddie's current ages.
Anika is 30 years old. Since Anika is 4/3 the age of Maddie, we can set up the equation: 30 = (4/3) * Maddie's age.
## Step 2: Solve for Maddie's current age.
To find Maddie's age, we rearrange the equation: Maddie's age = 30 * (3/4) = 22.5 years.
## Step 3: Calculate their ages in 15 years.
In 15 years, Anika will be 30 + 15 = 45 years old, and Maddie will be 22.5 + 15 = 37.5 years old.
## Step 4: Calculate their average age in 15 years.
The average age = (Anika's age in 15 years + Maddie's age in 15 years) / 2 = (45 + 37.5) / 2 = 82.5 / 2 = 41.25 years.
The final answer is: ####41.25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</si>
  <si>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</si>
  <si>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</si>
  <si>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 Step 1: Calculate the number of sections per row
There are 2 sections per row since the aisle splits each row into two sections.
## Step 2: Calculate the total number of sections in the bus
There are 13 rows, and each row has 2 sections, so the total number of sections is 13 * 2 = 26.
## Step 3: Calculate the total number of students that can be seated
Each section can seat 2 students, and there are 26 sections, so the total number of students that can be seated is 26 * 2 = 52.
The final answer is: ####52</t>
  </si>
  <si>
    <t>If you double a number and add 5 to the result, then that's 20 more than half of the original number. What's the original number?</t>
  </si>
  <si>
    <t>Let x be the original number.
2*x+5=20+x/2
2*x-x/2=15
4*x-x=30
3*x=30
x=&lt;&lt;10=10&gt;&gt;10
#### 4</t>
  </si>
  <si>
    <t>## Step 1: Define the original number as a variable.
Let's denote the original number as \(x\).
## Step 2: Translate the given operations into an equation based on the problem statement.
The problem states that if you double a number (which gives \(2x\)) and add 5 to the result (giving \(2x + 5\)), then that's 20 more than half of the original number (which is \(\frac{x}{2} + 20\)). So, the equation based on this information is \(2x + 5 = \frac{x}{2} + 20\).
## Step 3: Solve the equation for \(x\).
First, let's get rid of the fraction by multiplying every term in the equation by 2, which gives \(4x + 10 = x + 40\).
## Step 4: Isolate \(x\) on one side of the equation.
Subtract \(x\) from both sides to get \(3x + 10 = 40\).
## Step 5: Continue to isolate \(x\).
Subtract 10 from both sides to get \(3x = 30\).
## Step 6: Solve for \(x\).
Divide both sides by 3 to get \(x = 10\).
The final answer is: ####10</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</si>
  <si>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</si>
  <si>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</si>
  <si>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 Step 1: Calculate the number of potatoes used for wedges
Cynthia cut 13 potatoes into wedges.
## Step 2: Calculate the number of wedges made
Since one potato can be cut into 8 wedges, the total number of wedges made from 13 potatoes is 13 * 8 = 104.
## Step 3: Calculate the number of potatoes remaining after cutting some into wedges
Cynthia started with 67 potatoes and used 13 for wedges, so she had 67 - 13 = 54 potatoes left.
## Step 4: Calculate the number of potatoes used for chips
Since she halved the remaining potatoes and made chips with one half, she used 54 / 2 = 27 potatoes for chips.
## Step 5: Calculate the number of chips made
Since one potato can make 20 chips, the total number of chips made from 27 potatoes is 27 * 20 = 540.
## Step 6: Calculate the difference between the number of chips and wedges
To find out how many more chips than wedges Cynthia made, subtract the number of wedges from the number of chips: 540 - 104 = 436.
The final answer is: ####436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</si>
  <si>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</si>
  <si>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</si>
  <si>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 Step 1: Calculate Lizzie's score
Lizzie's score is given as 4 points.
## Step 2: Calculate Nathalie's score
Nathalie's score is 3 more than Lizzie's score, so Nathalie's score = Lizzie's score + 3 = 4 + 3 = 7 points.
## Step 3: Calculate the combined score of Lizzie and Nathalie
The combined score of Lizzie and Nathalie = Lizzie's score + Nathalie's score = 4 + 7 = 11 points.
## Step 4: Calculate Aimee's score
Aimee's score is twice the score of Lizzie and Nathalie combined, so Aimee's score = 2 * combined score of Lizzie and Nathalie = 2 * 11 = 22 points.
## Step 5: Calculate the total score of Lizzie, Nathalie, and Aimee
The total score of Lizzie, Nathalie, and Aimee = Lizzie's score + Nathalie's score + Aimee's score = 4 + 7 + 22 = 33 points.
## Step 6: Calculate the score of their teammates
The whole team scored 50 points, so the score of their teammates = total team score - total score of Lizzie, Nathalie, and Aimee = 50 - 33 = 17 points.
The final answer is: ####17</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</si>
  <si>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</si>
  <si>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</si>
  <si>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 196</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</si>
  <si>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</si>
  <si>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</si>
  <si>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 Step 1: Calculate the total cost before taxes
Cody buys $40 worth of stuff.
## Step 2: Calculate the taxes
The taxes are 5% of $40, which is 0.05 * $40 = $2.
## Step 3: Calculate the total cost after taxes
The total cost after taxes is $40 + $2 = $42.
## Step 4: Apply the discount
After getting an $8 discount, the total cost becomes $42 - $8 = $34.
## Step 5: Split the final price equally between Cody and his friend
Cody pays half of the final price, which is $34 / 2 = $17.
The final answer is: $17</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</si>
  <si>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</si>
  <si>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</si>
  <si>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 Step 1: Calculate the total number of packs of crayons Michael will have after the purchase.
Michael currently has 4 packs of crayons and wants to buy 2 more. So, the total number of packs he will have is 4 + 2 = 6.
## Step 2: Calculate the total cost of all the packs of crayons.
One pack of crayons costs $2.5. To find the total cost of 6 packs, we multiply the cost of one pack by the total number of packs: 6 * $2.5 = $15.
The final answer is: ####15</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</si>
  <si>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</si>
  <si>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</si>
  <si>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 Step 1: Calculate the total cost of hamburgers
The total cost of hamburgers is 5 pieces * $3 each = $15.
## Step 2: Calculate the total cost of French fries
The total cost of French fries is 4 sets * $1.20 each = $4.80.
## Step 3: Calculate the total cost of soda
The total cost of soda is 5 cups * $0.5 each = $2.50.
## Step 4: Calculate the total cost of spaghetti
The total cost of spaghetti is $2.70 for 1 platter.
## Step 5: Calculate the total bill
The total bill is $15 (hamburgers) + $4.80 (French fries) + $2.50 (soda) + $2.70 (spaghetti) = $25.
## Step 6: Calculate the amount each friend will pay
The amount each friend will pay is the total bill / 5 friends = $25 / 5 = $5.
The final answer is: ####5</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</si>
  <si>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</si>
  <si>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</si>
  <si>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 Step 1: Calculate the weight gained from berries
The bear needs to gain 1000 pounds. It gained a fifth of the weight it needed from berries during summer. A fifth of 1000 pounds is 1000 / 5 = 200 pounds.
## Step 2: Calculate the weight gained from acorns
During autumn, it gained twice the amount from acorns as it did from berries. Since it gained 200 pounds from berries, it gained 2 * 200 = 400 pounds from acorns.
## Step 3: Calculate the total weight gained from berries and acorns
The total weight gained from berries and acorns is 200 + 400 = 600 pounds.
## Step 4: Calculate the remaining weight needed
The bear needs to gain 1000 pounds in total. After gaining 600 pounds from berries and acorns, it still needs 1000 - 600 = 400 pounds.
## Step 5: Calculate the weight gained from salmon
Salmon made up half of the remaining weight it had needed to gain. Half of 400 pounds is 400 / 2 = 200 pounds.
## Step 6: Calculate the weight gained from small animals
The remaining weight after gaining from salmon is 400 - 200 = 200 pounds. This is the weight gained from small animals.
The final answer is: ####200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</si>
  <si>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</si>
  <si>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</si>
  <si>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 5</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</si>
  <si>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</si>
  <si>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</si>
  <si>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 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</si>
  <si>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</si>
  <si>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</si>
  <si>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 Step 1: Calculate the time it takes Ann to frost 10 cakes normally.
Normally, Ann can frost a cake in 5 minutes. So, to frost 10 cakes, it would take her 10 * 5 = 50 minutes.
## Step 2: Calculate the time it takes Ann to frost 10 cakes with her sprained wrist.
With her sprained wrist, it takes Ann 8 minutes to frost a cake. So, to frost 10 cakes, it would take her 10 * 8 = 80 minutes.
## Step 3: Calculate the difference in time to determine how much longer it takes with her sprained wrist.
The difference in time is 80 minutes (with sprained wrist) - 50 minutes (normally) = 30 minutes.
The final answer is: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</si>
  <si>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</si>
  <si>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</si>
  <si>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 Step 1: Calculate the cost of one football game ticket
Since eight movie tickets cost 2 times as much as one football game ticket, and each movie ticket is sold at $30, the total cost of eight movie tickets is 8 * $30 = $240. This means that one football game ticket costs $240 / 2 = $120.
## Step 2: Calculate the total cost of eight movie tickets
The cost of eight movie tickets is 8 * $30 = $240.
## Step 3: Calculate the total cost of five football game tickets
The cost of five football game tickets is 5 * $120 = $600.
## Step 4: Calculate the total amount Chandler will pay
The total amount Chandler will pay is the sum of the cost of eight movie tickets and five football game tickets, which is $240 + $600 = $840.
The final answer is: $####840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</si>
  <si>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</si>
  <si>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</si>
  <si>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 Step 1: Determine the pattern of breath-holding time increase
Chris increases his breath-holding time by 10 seconds each day.
## Step 2: Calculate the difference between the target time and the initial time
The target time is 90 seconds, and the initial time on the first day is 10 seconds. So, the difference is 90 - 10 = 80 seconds.
## Step 3: Determine the number of 10-second increments needed to reach the target
Since Chris increases his breath-holding time by 10 seconds each day, we need to find out how many 10-second increments are in 80 seconds. This is calculated by dividing the difference (80 seconds) by the daily increase (10 seconds). 80 / 10 = 8.
## Step 4: Calculate the total number of days
Since Chris starts with 10 seconds on the first day, the 8 increments of 10 seconds will bring him to the 9th day when he reaches 90 seconds (10 + 8*10 = 90). Therefore, it takes 9 days in total for Chris to reach his goal.
The final answer is: ####9</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</si>
  <si>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</si>
  <si>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</si>
  <si>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 Step 1: Calculate the number of 15-minute intervals from 4 pm to 5 pm
From 4 pm to 5 pm, there are 4 intervals of 15 minutes each.
## Step 2: Calculate the number of customers served from 4 pm to 5 pm
Since this is an off-peak time, they serve 8 cars every 15 minutes. So, from 4 pm to 5 pm, they serve 8 * 4 = 32 customers.
## Step 3: Calculate the number of 15-minute intervals from 5 pm to 6 pm
From 5 pm to 6 pm, there are 4 intervals of 15 minutes each.
## Step 4: Calculate the number of customers served from 5 pm to 6 pm
Since this is a peak hour, they serve 12 cars every 15 minutes. So, from 5 pm to 6 pm, they serve 12 * 4 = 48 customers.
## Step 5: Calculate the total number of customers served from 4 pm to 6 pm
Total customers served = customers served from 4 pm to 5 pm + customers served from 5 pm to 6 pm = 32 + 48 = 80.
The final answer is: ####80</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</si>
  <si>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</si>
  <si>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</si>
  <si>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 Step 1: Determine the number of shells Mia has.
Mia has 4 times as many shells as David. Since David has 15 shells, Mia has 4 * 15 = 60 shells.
## Step 2: Calculate the number of shells Ava has.
Ava has 20 more shells than Mia. So, Ava has 60 + 20 = 80 shells.
## Step 3: Find out how many shells Alice has.
Alice has half the number of shells Ava has. Therefore, Alice has 80 / 2 = 40 shells.
## Step 4: Add up the total number of shells they all have.
To find the total, we add the shells of David (15), Mia (60), Ava (80), and Alice (40). Total = 15 + 60 + 80 + 40 = 195 shells.
The final answer is: ####195</t>
  </si>
  <si>
    <t>Tyrah has six times as many pencils as Sarah has. Tim has eight times as many pencils as Sarah. If Tyrah has 12 pencils, how many does Tim have?</t>
  </si>
  <si>
    <t>Sarah has 12/6=&lt;&lt;12/6=2&gt;&gt;2 pencils
Tim has 8*2=&lt;&lt;8*2=16&gt;&gt;16 pencils
#### 16</t>
  </si>
  <si>
    <t>## Step 1: Determine the number of pencils Sarah has.
Since Tyrah has six times as many pencils as Sarah and Tyrah has 12 pencils, we can set up the equation 6 * S = 12, where S represents the number of pencils Sarah has.
## Step 2: Solve for the number of pencils Sarah has.
Dividing both sides of the equation 6 * S = 12 by 6 gives S = 12 / 6, which simplifies to S = 2. So, Sarah has 2 pencils.
## Step 3: Calculate the number of pencils Tim has.
Since Tim has eight times as many pencils as Sarah, and we now know Sarah has 2 pencils, we can find the number of pencils Tim has by multiplying 8 * 2.
## Step 4: Solve for the number of pencils Tim has.
8 * 2 = 16, so Tim has 16 pencils.
The final answer is: ####16</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</si>
  <si>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</si>
  <si>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</si>
  <si>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 Step 1: Determine Amaya's score in Maths
Amaya scored 1/10 less in Maths than she did in Music. Since she scored 70 in Music, she scored 70 - (1/10 * 70) = 70 - 7 = 63 in Maths.
## Step 2: Determine Amaya's score in Arts
Amaya scored 20 marks fewer in Maths than she scored in Arts. So, if she scored 63 in Maths, then she scored 63 + 20 = 83 in Arts.
## Step 3: Determine Amaya's score in Social Studies
Amaya got 10 marks more in Social Studies than she got in Music. Since she scored 70 in Music, she scored 70 + 10 = 80 in Social Studies.
## Step 4: Calculate the total number of marks Amaya scored in all subjects
To find the total, we add the scores from all subjects: Music (70) + Maths (63) + Arts (83) + Social Studies (80) = 70 + 63 + 83 + 80 = 296.
The final answer is: ####296</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</si>
  <si>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</si>
  <si>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</si>
  <si>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 Step 1: Calculate the total weight of the men
To find the total weight of the men, we multiply the number of men by their average weight. total_weight_men = 8 * 190 = 1520 pounds.
## Step 2: Calculate the total weight of the women
To find the total weight of the women, we multiply the number of women by their average weight. total_weight_women = 6 * 120 = 720 pounds.
## Step 3: Calculate the total weight of all men and women
To find the total weight of all men and women, we add the total weight of the men and the total weight of the women. total_weight_all = total_weight_men + total_weight_women = 1520 + 720 = 2240 pounds.
## Step 4: Calculate the average weight of all men and women
To find the average weight of all men and women, we divide the total weight of all men and women by the total number of men and women. average_weight_all = total_weight_all / (8 + 6) = 2240 / 14 = 160 pounds.
The final answer is: ####160</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</si>
  <si>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</si>
  <si>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</si>
  <si>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 9</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</si>
  <si>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</si>
  <si>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</si>
  <si>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 Step 1: Calculate the total value of the quarters Alice has.
Alice has 20 quarters. Each quarter is worth $0.25. So, the total value of her quarters is 20 * $0.25 = $5.
## Step 2: Determine the number of nickels Alice gets in exchange for her quarters.
Since Alice exchanges her quarters for nickels and each quarter is worth $0.25, and each nickel is worth $0.05, the number of nickels she gets for one quarter is $0.25 / $0.05 = 5. Therefore, for 20 quarters, she gets 20 * 5 = 100 nickels.
## Step 3: Calculate the number of iron nickels and regular nickels.
20% of the nickels are iron nickels. So, the number of iron nickels is 20% of 100, which is 0.20 * 100 = 20 nickels. The remaining nickels are regular, which is 100 - 20 = 80 nickels.
## Step 4: Calculate the total value of the iron nickels.
Each iron nickel is worth $3. So, the total value of the iron nickels is 20 * $3 = $60.
## Step 5: Calculate the total value of the regular nickels.
Each regular nickel is worth $0.05. So, the total value of the regular nickels is 80 * $0.05 = $4.
## Step 6: Calculate the total value of Alice's money now.
The total value of her money now is the sum of the value of the iron nickels and the regular nickels. So, the total value is $60 + $4 = $64.
The final answer is: $64</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</si>
  <si>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</si>
  <si>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</si>
  <si>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 Step 1: Calculate the points for a single line
A single line is worth 1000 points.
## Step 2: Calculate the points for a tetris
A tetris is worth 8 times the points of a single line, so it is 8 * 1000 = 8000 points.
## Step 3: Calculate the total points from singles
Tim scored 6 singles, so the total points from singles is 6 * 1000 = 6000 points.
## Step 4: Calculate the total points from tetrises
Tim scored 4 tetrises, so the total points from tetrises is 4 * 8000 = 32000 points.
## Step 5: Calculate the total points scored by Tim
The total points scored by Tim is the sum of points from singles and tetrises, which is 6000 + 32000 = 38000 points.
The final answer is: ####38000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</si>
  <si>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</si>
  <si>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</si>
  <si>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 Step 7: Calculate the number of pots produced in the first hour when the machine is cold.
In the first hour, the machine produces pots at a rate of 1 pot per 6 minutes. Since there are 60 minutes in an hour, the number of pots produced in the first hour is 60 / 6 = 10 pots.
## Step 8: Calculate the number of pots produced in the last hour when the machine is warm.
In the last hour, the machine produces pots at a rate of 1 pot per 5 minutes. Since there are 60 minutes in an hour, the number of pots produced in the last hour is 60 / 5 = 12 pots.
## Step 9: Find the difference in the number of pots produced between the last hour and the first hour.
To find the difference, subtract the number of pots produced in the first hour from the number produced in the last hour: 12 - 10 = 2 pots.
The final answer is: ####2</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</si>
  <si>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</si>
  <si>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</si>
  <si>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 Step 1: Calculate the total number of shirts Tom bought.
Tom buys 5 t-shirts from each of his 4 favorite fandoms, so the total number of shirts is 5 * 4 = 20.
## Step 2: Calculate the original total cost of the shirts before the sale.
Each shirt costs $15, so the original total cost is 20 * $15 = $300.
## Step 3: Calculate the discount from the 20% off sale.
The discount is 20% of $300, which is 0.20 * $300 = $60.
## Step 4: Calculate the cost after applying the discount.
The cost after the discount is $300 - $60 = $240.
## Step 5: Calculate the tax on the discounted cost.
The tax is 10% of $240, which is 0.10 * $240 = $24.
## Step 6: Calculate the final amount Tom paid, including tax.
The final amount paid is $240 + $24 = $264.
The final answer is: $264</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</si>
  <si>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</si>
  <si>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</si>
  <si>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 Step 1: Calculate the total cost of pills for a day
The cost of one pill is $1.5, and John needs to take 2 pills a day. So, the total cost for a day is 2 * $1.5 = $3.
## Step 2: Calculate the total cost of pills for a 30-day month
To find the total cost for a 30-day month, we multiply the daily cost by 30. So, $3 * 30 = $90.
## Step 3: Calculate the amount covered by insurance
The insurance covers 40% of the cost. To find 40% of $90, we multiply $90 by 0.4. So, $90 * 0.4 = $36.
## Step 4: Calculate the amount John has to pay
To find out how much John has to pay, we subtract the amount covered by insurance from the total cost. So, $90 - $36 = $54.
The final answer is: ####54</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</si>
  <si>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</si>
  <si>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</si>
  <si>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 Step 1: Calculate the total distance around the lake
The lake is square, so it has 4 equal sides. Each side is 15 miles, so the total distance around the lake is 4 * 15 = 60 miles.
## Step 2: Calculate Jake's swimming speed
It takes Jake 20 minutes to swim 1 mile. To find his speed in miles per hour, we need to convert the time from minutes to hours. 20 minutes is 20/60 = 1/3 hours. So, his swimming speed is 1 mile / (1/3 hours) = 3 miles per hour.
## Step 3: Calculate Jake's rowing speed
Jake can row at twice the speed he can swim. Since his swimming speed is 3 miles per hour, his rowing speed is 2 * 3 = 6 miles per hour.
## Step 4: Calculate the time it takes to row around the lake
To find the time it takes to row around the lake, we divide the total distance by Jake's rowing speed. The total distance is 60 miles, and his rowing speed is 6 miles per hour. So, the time it takes is 60 miles / 6 miles per hour = 10 hours.
The final answer is: ####10</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</si>
  <si>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</si>
  <si>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</si>
  <si>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 Step 1: Calculate the total number of tickets Taegan has.
Since each ticket is worth $3 and she has a total value of $30, we divide the total value by the value of each ticket to find the total number of tickets. total_value = $30, ticket_value = $3, total_tickets = total_value / ticket_value = 30 / 3 = 10.
## Step 2: Subtract the tickets she found from the total to find out how many she won.
She found 5 tickets on the floor, so the number of tickets she won is total_tickets - found_tickets = 10 - 5 = 5.
## Step 3: Determine how many tickets she won from each game.
Since she won an equal number of tickets from each of the 5 games, we divide the total number of tickets won by the number of games. tickets_won_per_game = total_tickets_won / number_of_games = 5 / 5 = 1.
The final answer is: ####1</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</si>
  <si>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</si>
  <si>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</si>
  <si>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 95</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</si>
  <si>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</si>
  <si>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</si>
  <si>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 Step 1: Define the variables for the price of a shirt and a pair of pants.
Let's denote the price of one shirt as \(S\) and the price of one pair of pants as \(P\).
## Step 2: Set up the equation based on the initial purchase.
The total cost for 2 shirts and 3 pairs of pants is $120. This gives us the equation \(2S + 3P = 120\).
## Step 3: Determine the refund amount for returning the pants.
The refund for returning all 3 pairs of pants is 25% of the original total payment, which is \(0.25 \times 120 = 30\) dollars.
## Step 4: Calculate the cost of the shirts after the refund.
After returning the pants, the amount paid for the shirts alone would be the original total payment minus the refund, which is \(120 - 30 = 90\) dollars. Since 2 shirts were bought, this means \(2S = 90\).
## Step 5: Solve for the price of one shirt.
Divide both sides of the equation \(2S = 90\) by 2 to find the price of one shirt: \(S = 90 / 2 = 45\).
The final answer is: ####45</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</si>
  <si>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</si>
  <si>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</si>
  <si>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 Step 1: Define the initial number of rubber bands for each person with variables.
Let's denote the initial number of rubber bands for Bailey as B, for Justine as J, and for Ylona as Y.
## Step 2: Translate the given information into equations based on the variables defined.
From the information given, we have the following equations:
1. J = B + 10 (Justine had 10 more rubber bands than Bailey)
2. Y = J + 2 (Ylona had 2 more rubber bands than Justine)
3. B - 4 = 8 (Bailey gave away 4 rubber bands and was left with 8)
## Step 3: Solve the third equation to find the initial number of rubber bands Bailey had.
B - 4 = 8
B = 12
## Step 4: Use the value of B to find the initial number of rubber bands Justine had.
J = B + 10
J = 12 + 10
J = 22
## Step 5: Use the value of J to find the initial number of rubber bands Ylona had.
Y = J + 2
Y = 22 + 2
Y = 24
The final answer is: ####24</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</si>
  <si>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</si>
  <si>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</si>
  <si>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 Step 1: Calculate the total number of marbles
To find out how many marbles each friend had at the end of the day, we first need to calculate the total number of marbles. Dilan had 14 marbles, Martha had 20 marbles, Phillip had 19 marbles, and Veronica had 7 marbles. Total marbles = 14 + 20 + 19 + 7 = 60.
## Step 2: Determine the number of friends
There are 4 friends in total: Dilan, Martha, Phillip, and Veronica.
## Step 3: Calculate the number of marbles each friend had at the end of the day
To find out how many marbles each friend had, we divide the total number of marbles by the number of friends. marbles_per_friend = Total marbles / Number of friends = 60 / 4 = 15.
The final answer is: ####15</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</si>
  <si>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</si>
  <si>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</si>
  <si>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 Step 1: Calculate the total number of soccer balls without holes.
To find the number of soccer balls without holes, we subtract the number of soccer balls with holes from the total number of soccer balls. Total soccer balls = 40, soccer balls with holes = 30. Soccer balls without holes = Total soccer balls - soccer balls with holes = 40 - 30 = 10.
## Step 2: Calculate the total number of basketballs without holes.
To find the number of basketballs without holes, we subtract the number of basketballs with holes from the total number of basketballs. Total basketballs = 15, basketballs with holes = 7. Basketballs without holes = Total basketballs - basketballs with holes = 15 - 7 = 8.
## Step 3: Calculate the total number of balls without holes.
To find the total number of balls without holes, we add the number of soccer balls without holes to the number of basketballs without holes. Total balls without holes = soccer balls without holes + basketballs without holes =</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</si>
  <si>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</si>
  <si>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</si>
  <si>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 Step 1: Calculate the total amount of money Tina saved.
Tina saved $27 in June, $14 in July, and $21 in August. So, the total amount saved is $27 + $14 + $21 = $62.
## Step 2: Calculate the total amount of money Tina spent.
Tina spent $5 on books and $17 on new shoes. So, the total amount spent is $5 + $17 = $22.
## Step 3: Calculate the amount of money Tina has left.
To find out how much money Tina has left, we need to subtract the total amount spent from the total amount saved. So, $62 - $22 = $40.
The final answer is: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</si>
  <si>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</si>
  <si>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</si>
  <si>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 Step 1: Calculate the number of ounces James eats per day
To find out how much James spends on pistachios per week, first, we need to calculate how many ounces he eats per day. He eats 30 ounces every 5 days.
## Step 2: Calculate the daily consumption of pistachios in ounces
Divide the total ounces eaten in 5 days by 5 to get the daily consumption. 30 ounces / 5 days = 6 ounces per day.
## Step 3: Calculate the weekly consumption of pistachios in ounces
Since there are 7 days in a week, multiply the daily consumption by 7 to get the weekly consumption. 6 ounces per day * 7 days per week = 42 ounces per week.
## Step 4: Calculate the number of cans James buys per week
Each can is 5 ounces. Divide the weekly consumption in ounces by the ounces per can to find out how many cans James buys per week. 42 ounces per week / 5 ounces per can = 8.4 cans per week.
## Step 5: Calculate the weekly expenditure on pistachios
Each can costs $10. Multiply the number of cans bought per week by the cost per can to find the weekly expenditure. 8.4 cans per week * $10 per can = $84 per week.
The final answer is: ####84</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</si>
  <si>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</si>
  <si>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</si>
  <si>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 Step 1: Calculate the total points Jimmy earned from exams
Jimmy earned 20 points for each of the 3 exams, so the total points earned is 20 * 3 = 60 points.
## Step 2: Calculate the total points Jimmy has after losing points for bad behavior
Jimmy lost 5 points for bad behavior, so the total points he has now is 60 - 5 = 55 points.
## Step 3: Determine how many points Jimmy can lose and still pass the class
To pass the class, Jimmy needs at least 50 points. Since he currently has 55 points, he can lose up to 55 - 50 = 5 points and still pass.
The final answer is: $\boxed{5}$</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</si>
  <si>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</si>
  <si>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</si>
  <si>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Isabel started with $204. She spent half of that, which is $</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</si>
  <si>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</si>
  <si>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</si>
  <si>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 Step 1: Calculate the number of fish caught by the kingfisher.
The kingfisher caught 7 more fish than the pelican, who caught 13 fish. So, the kingfisher caught 13 + 7 = 20 fish.
## Step 2: Calculate the total number of fish caught by the pelican and the kingfisher.
The total number of fish caught by both the pelican and the kingfisher is 13 (pelican) + 20 (kingfisher) = 33 fish.
## Step 3: Calculate the number of fish caught by the fisherman.
The fisherman caught 3 times the total amount of fish caught by the pelican and the kingfisher, which is 3 * 33 = 99 fish.
## Step 4: Calculate the difference in the number of fish caught by the fisherman and the pelican.
The difference in the number of fish caught by the fisherman and the pelican is 99 (fisherman) - 13 (pelican) = 86 fish.
The final answer is: ####86</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</si>
  <si>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</si>
  <si>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</si>
  <si>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 Step 1: Calculate the total number of students
Carl teaches 6 periods a day, and each class has 30 students. So, the total number of students is 6 * 30 = 180.
## Step 2: Calculate the total number of index cards needed
Each student gets 10 index cards. So, the total number of index cards needed is 180 * 10 = 1800.
## Step 3: Calculate the total number of packs of index cards needed
Each pack of index cards contains 50 cards. So, the total number of packs needed is 1800 / 50 = 36.
## Step 4: Calculate the total cost of the index cards
Each pack of index cards costs $3. So, the total cost is 36 * 3 = 108.
The final answer is: ####108</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</si>
  <si>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</si>
  <si>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</si>
  <si>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 Step 1: Calculate the number of rabbits
The number of rabbits is 34 more than the number of antelopes. Since there are 80 antelopes, the number of rabbits is 80 + 34 = 114.
## Step 2: Calculate the total number of antelopes and rabbits
The total number of antelopes and rabbits is 80 (antelopes) + 114 (rabbits) = 194.
## Step 3: Calculate the number of hyenas
The number of hyenas is 42 fewer than the total number of antelopes and rabbits combined. So, the number of hyenas is 194 - 42 = 152.
## Step 4: Calculate the number of wild dogs
The number of wild dogs is 50 more than the number of hyenas. Therefore, the number of wild dogs is 152 + 50 = 202.
## Step 5: Calculate the number of leopards
The number of leopards is half the number of rabbits. Since there are 114 rabbits, the number of leopards is 114 / 2 = 57.
## Step 6: Calculate the total number of animals
The total number of animals is the sum of antelopes, rabbits, hyenas, wild dogs, and leopards. So, the total is 80 + 114 + 152 + 202 + 57 = 605.
The final answer is: ####605</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</si>
  <si>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</si>
  <si>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</si>
  <si>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 3
To find the number of gilled mushrooms, we first need to establish the ratio between gilled and spotted mushrooms, which is 1:9. This means for every 10 mushrooms, 1 is gilled and 9 are spotted.
Given that there are 30 mushrooms in total, we divide this total by 10 (since the ratio of gilled to total mushrooms is 1:10) to find how many groups of 10 mushrooms there are, and thus how many gilled mushrooms there are.
30 mushrooms / 10 = 3
So, there are 3 groups of 10 mushrooms, meaning there are 3 gilled mushrooms.</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</si>
  <si>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</si>
  <si>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</si>
  <si>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</si>
  <si>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</si>
  <si>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</si>
  <si>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 Step 1: Determine the total number of boxes Robie had initially.
To find the initial number of boxes, we need to add the boxes he gave away to the boxes he has left. boxes_given_away = 2, boxes_left = 5. total_boxes_initially = boxes_given_away + boxes_left = 2 + 5 = 7.
## Step 2: Calculate the total number of cards in the boxes.
Each box contains 10 cards. So, the total number of cards in the boxes is total_boxes_initially * cards_per_box = 7 * 10 = 70.
## Step 3: Add the cards that were not placed in a box to find the total number of cards Robie had initially.
There were 5 cards not placed in any box. So, the total number of cards initially is total_cards_in_boxes + cards_not_in_box = 70 + 5 = 75.
The final answer is: ####75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</si>
  <si>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</si>
  <si>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</si>
  <si>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To find out how much time Delaney missed the bus by, we need to calculate the time he arrived at the pick-up point and compare it to the bus's departure time.
Delaney left his home at 7:50 a.m. and it takes him 30 minutes to reach the pick-up point. 
So, he arrived at the pick-up point at 7:50 + 30 minutes = 8:20 a.m.
The bus leaves at 8:00 a.m. 
Therefore, Delaney missed the bus by 20 minutes.
#### 20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</si>
  <si>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</si>
  <si>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</si>
  <si>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 Step 1: Define the problem and the information given
Eunice spent $7500 on a used car, and this price is 25% less than the original price of the car. We need to find the original price.
## Step 2: Set up the equation based on the given information
Let x be the original price of the car. Since Eunice paid 25% less than the original price, she paid 75% of the original price. This can be represented as 0.75x = 7500.
## Step 3: Solve the equation for x
To find the original price (x), we need to solve the equation 0.75x = 7500 for x. Divide both sides of the equation by 0.75 to isolate x.
## Step 4: Calculate x
x = 7500 / 0.75
## Step 5: Perform the division
x = 10000
The final answer is: ####10000</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</si>
  <si>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</si>
  <si>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</si>
  <si>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 Step 1: Calculate the initial number of teaspoons
Braelynn has twice as many teaspoons as knives. Since she has 24 knives, she has 2 * 24 = 48 teaspoons.
## Step 2: Calculate the initial total number of cutlery pieces
The initial total number of cutlery pieces is the sum of knives and teaspoons. So, 24 knives + 48 teaspoons = 72 cutlery pieces.
## Step 3: Calculate the number of additional knives bought
Braelynn bought 1/3 as many additional knives as she already has. So, she bought 1/3 * 24 = 8 additional knives.
## Step 4: Calculate the number of additional teaspoons bought
Braelynn bought 2/3 as many additional teaspoons as she already has. So, she bought 2/3 * 48 = 32 additional teaspoons.
## Step 5: Calculate the new total number of cutlery pieces
The new total number of knives is 24 + 8 = 32. The new total number of teaspoons is 48 + 32 = 80. Therefore, the new total number of cutlery pieces is 32 + 80 = 112.
The final answer is: ####112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</si>
  <si>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</si>
  <si>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</si>
  <si>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Mason is three times younger than Sydney and Sydney is six years younger than Mason's father. If Mason is 20 years old, how old is his father?</t>
  </si>
  <si>
    <t>Sydney is 20*3 = &lt;&lt;20*3=60&gt;&gt;60 years old.
Mason’s father is 60+6 = &lt;&lt;60+6=66&gt;&gt;66 years old.
#### 66</t>
  </si>
  <si>
    <t>## Step 1: Determine Mason's age
Mason is 20 years old.
## Step 2: Calculate Sydney's age
Since Mason is three times younger than Sydney, we can express this as M = S/3, where M is Mason's age and S is Sydney's age. Given M = 20, we can solve for S: 20 = S/3, so S = 20 * 3 = 60.
## Step 3: Calculate Mason's father's age
Sydney is six years younger than Mason's father. If we let F represent Mason's father's age, we can express this relationship as S = F - 6. Given S = 60, we can solve for F: 60 = F - 6, so F = 60 + 6 = 66.
The final answer is: ####66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</si>
  <si>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</si>
  <si>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</si>
  <si>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 Step 1: Calculate the total number of hens on the farm.
To find the total number of hens, we subtract the number of roosters from the total number of chickens. total_chickens = 440, roosters = 39. hens = total_chickens - roosters = 440 - 39 = 401.
## Step 2: Determine the number of hens that lay eggs.
We know that 15 of the hens do not lay eggs. So, the number of egg-laying hens is the total number of hens minus the number of hens that do not lay eggs. egg_laying_hens = hens - 15 = 401 - 15 = 386.
## Step 3: Calculate the total number of eggs laid by the hens.
Each egg-laying hen lays 3 eggs. To find the total number of eggs, we multiply the number of egg-laying hens by the number of eggs each lays. total_eggs = egg_laying_hens * 3 = 386 * 3 = 1158.
The final answer is: ####1158</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</si>
  <si>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</si>
  <si>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</si>
  <si>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 5.5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</si>
  <si>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</si>
  <si>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</si>
  <si>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 $9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</si>
  <si>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</si>
  <si>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</si>
  <si>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 Step 1: Calculate the total number of pages Jesse read on Friday afternoon.
Jesse read 10 + 15 + 27 + 12 + 19 = 83 pages.
## Step 2: Determine the total number of pages in the book.
Since Jesse is only 1/3 of the way through the book after reading 83 pages, the total number of pages in the book can be calculated by dividing 83 by 1/3. This can be expressed as 83 / (1/3) = 83 * 3 = 249 pages.
## Step 3: Calculate the number of pages Jesse still has to read.
To find out how many pages Jesse still has to read, subtract the number of pages he has already read (83) from the total number of pages in the book (249). pages_left = 249 - 83 = 166 pages.
The final answer is: ####166</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</si>
  <si>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</si>
  <si>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</si>
  <si>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 Step 1: Determine the age of John based on the information about Tonya's age.
Since John is half as old as Tonya, and Tonya is 60 years old, John's age is 60 / 2 = 30 years.
## Step 2: Determine the age of Mary based on the information about John's age.
Since John is twice as old as Mary, Mary's age is 30 / 2 = 15 years.
## Step 3: Calculate the average age of John, Mary, and Tonya.
To find the average age, we add the ages of John, Mary, and Tonya, then divide by the number of people. The sum of their ages is 30 (John) + 15 (Mary) + 60 (Tonya) = 105 years. There are 3 people, so the average age is 105 / 3 = 35 years.
The final answer is: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</si>
  <si>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</si>
  <si>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</si>
  <si>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 Step 1: Calculate the total cost of the televisions
Annie bought 5 televisions at $50 each, so the total cost of the televisions is 5 * $50 = $250.
## Step 2: Calculate the remaining amount spent on figurines
Annie spent a total of $260, and $250 was spent on televisions. So, the amount spent on figurines is $260 - $250 = $10.
## Step 3: Calculate the cost of a single figurine
Annie bought 10 figurines for $10, so the cost of a single figurine is $10 / 10 = $1.
The final answer is: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</si>
  <si>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</si>
  <si>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</si>
  <si>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 Step 1: Determine the speed at which Milo can roll downhill on his skateboard.
Since Cory drives his wheelchair at twice the speed that Milo can roll downhill, and Cory's speed is 12 miles per hour, Milo's downhill skateboard speed is 12 / 2 = 6 miles per hour.
## Step 2: Calculate the speed at which Milo can run.
Milo can roll downhill on his skateboard at twice the speed that he can run. Therefore, Milo's running speed is 6 / 2 = 3 miles per hour.
## Step 3: Calculate the distance Milo can run in two hours.
Distance = speed * time. Given Milo's running speed is 3 miles per hour, in 2 hours he can run 3 * 2 = 6 miles.
The final answer is: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</si>
  <si>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</si>
  <si>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</si>
  <si>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 Step 1: Determine Dwayne's annual income
Dwayne makes $1,500 in a year.
## Step 2: Calculate Brady's annual income
Brady will make $450 more than Dwayne, so Brady's income is $1,500 + $450 = $1,950.
## Step 3: Calculate the combined annual income of Brady and Dwayne
The combined income is $1,500 (Dwayne) + $1,950 (Brady) = $3,450.
The final answer is: ####3450</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</si>
  <si>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</si>
  <si>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</si>
  <si>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 Step 1: Calculate the number of sheets Tommy has.
Tommy has 10 more sheets than Jimmy, and Jimmy has 32 sheets. So, Tommy has 32 + 10 = 42 sheets.
## Step 2: Calculate the number of sheets Jimmy will have after Ashton gives him 40 sheets.
Jimmy originally has 32 sheets. After receiving 40 sheets from Ashton, Jimmy will have 32 + 40 = 72 sheets.
## Step 3: Calculate the difference in the number of sheets between Jimmy and Tommy after the transaction.
To find out how many more sheets Jimmy will have than Tommy, we subtract the number of sheets Tommy has from the number of sheets Jimmy has after receiving the sheets from Ashton. So, 72 - 42 = 30.
The final answer is: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</si>
  <si>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</si>
  <si>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</si>
  <si>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 Step 1: Calculate the total number of ducklings for the 2 ducks with 5 ducklings each.
2 ducks * 5 ducklings = 10 ducklings.
## Step 2: Calculate the total number of ducklings for the 6 ducks with 3 ducklings each.
6 ducks * 3 ducklings = 18 ducklings.
## Step 3: Calculate the total number of ducklings for the 9 ducks with 6 ducklings each.
9 ducks * 6 ducklings = 54 ducklings.
## Step 4: Calculate the total number of ducks.
2 ducks + 6 ducks + 9 ducks = 17 ducks.
## Step 5: Calculate the total number of ducklings.
10 ducklings + 18 ducklings + 54 ducklings = 82 ducklings.
## Step 6: Calculate the total number of ducks and ducklings.
17 ducks + 82 ducklings = 99 total.
The final answer is: ####99</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</si>
  <si>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</si>
  <si>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</si>
  <si>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 Step 1: Calculate the total free time Billy has on the weekend.
Billy has 8 hours of free time each day on a weekend, and there are 2 days in a weekend. So, his total free time is 8 hours/day * 2 days = 16 hours.
## Step 2: Determine the amount of time Billy will spend reading.
Billy wants to spend 75% of his time playing video games, which means he will spend the remaining 25% of his time reading. So, the time spent reading is 25% of 16 hours, which is 0.25 * 16 = 4 hours.
## Step 3: Calculate the number of pages Billy can read in the given time.
Billy can read 60 pages in one hour. Therefore, in 4 hours, he can read 60 pages/hour * 4 hours = 240 pages.
## Step 4: Calculate the number of books Billy can read.
Each of Billy's books contains 80 pages. To find out how many books he can read, we divide the total number of pages he can read by the number of pages in a book: 240 pages / 80 pages/book = 3 books.
The final answer is: ####3</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</si>
  <si>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</si>
  <si>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</si>
  <si>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 Step 1: Calculate the initial number of diaries after buying more.
Natalie's sister initially had 8 diaries. She bought double the number she had, so she bought 8 * 2 = 16 more diaries.
## Step 2: Calculate the total number of diaries after buying more.
After buying 16 more diaries, she had 8 (initial) + 16 (bought) = 24 diaries.
## Step 3: Calculate the number of diaries lost.
She lost 1/4 of what she had after buying more. So, she lost 1/4 * 24 = 6 diaries.
## Step 4: Calculate the final number of diaries.
After losing 6 diaries, Natalie's sister had 24 - 6 = 18 diaries.
The final answer is: ####18</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</si>
  <si>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</si>
  <si>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</si>
  <si>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 Step 1: Determine Rona's age
Rona is 8 years old.
## Step 2: Calculate Rachel's age
Rachel is twice as old as Rona, so Rachel's age is 2 * 8 = 16 years old.
## Step 3: Calculate Collete's age
Collete's age is half the age of Rona, so Collete's age is 8 / 2 = 4 years old.
## Step 4: Calculate the difference between Collete's and Rachel's age
The difference between Collete's age and Rachel's age is 16 - 4 = 12 years.
The final answer is: ####12</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</si>
  <si>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</si>
  <si>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</si>
  <si>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 Step 1: Convert the time the fan works each day from minutes to seconds
Since there are 60 seconds in a minute, the fan works for 10 * 60 = 600 seconds each day.
## Step 2: Calculate the total amount of airflow created by the fan in one day
The fan creates an airflow of 10 liters per second. So, in 600 seconds, it will create 10 * 600 = 6000 liters of airflow.
## Step 3: Calculate the total amount of airflow created by the fan in one week
There are 7 days in a week. So, the total amount of airflow created in one week is 6000 * 7 = 42000 liters.
The final answer is: ####42000</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</si>
  <si>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</si>
  <si>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</si>
  <si>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 Step 1: Calculate the total number of pieces of construction paper needed for the students.
Kelly has 8 students, and each student needs 3 pieces of construction paper. So, the total number of pieces of construction paper needed is 8 * 3 = 24.
## Step 2: Add the number of bottles of glue needed to the total number of construction papers.
In addition to the construction paper, Kelly needs 6 bottles of glue. So, the total number of supplies initially is 24 (construction papers) + 6 (bottles of glue) = 30.
## Step 3: Calculate the number of supplies lost down the storm drain.
Kelly dropped half of the supplies down a storm drain. Half of 30 supplies is 30 / 2 = 15.
## Step 4: Determine the number of supplies left after the loss.
After losing 15 supplies, Kelly has 30 - 15 = 15 supplies left.
## Step 5: Add the additional supplies Kelly bought.
Kelly bought 5 more pieces of construction paper. So, the total number of supplies she has now is 15 (remaining supplies) + 5 (new construction papers) = 20.
The final answer is: ####20</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</si>
  <si>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</si>
  <si>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</si>
  <si>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 Step 1: Calculate the total number of eggs Tricia ordered.
Tricia ordered three dozen eggs, which is 3 * 12 = 36 eggs.
## Step 2: Calculate the number of eggs Tricia will use for making crepes.
She will use 1/4 of the eggs for making crepes, which is 1/4 * 36 = 9 eggs.
## Step 3: Calculate the number of eggs remaining after making crepes.
The number of eggs remaining after making crepes is 36 - 9 = 27 eggs.
## Step 4: Calculate the number of eggs Tricia will use for making cupcakes.
She will use 2/3 of the remaining eggs for making cupcakes, which is 2/3 * 27 = 18 eggs.
## Step 5: Calculate the number of eggs left to make sunny-side-up eggs for breakfast.
The number of eggs left to make sunny-side-up eggs for breakfast is 27 - 18 = 9 eggs.
The final answer is: ####9</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</si>
  <si>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</si>
  <si>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</si>
  <si>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</si>
  <si>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</si>
  <si>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</si>
  <si>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 90</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</si>
  <si>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</si>
  <si>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</si>
  <si>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 Step 1: Calculate the total amount Troy currently has.
Troy initially saved $50 and plans to sell his old computer for $20, so the total amount he has is $50 + $20 = $70.
## Step 2: Determine how much more money Troy needs to buy the new computer.
The new computer is worth $80, and Troy has $70, so he needs $80 - $70 = $10 more to buy the new computer.
The final answer is: ####10</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</si>
  <si>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</si>
  <si>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</si>
  <si>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 72</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</si>
  <si>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</si>
  <si>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</si>
  <si>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 Step 1: Define the variables
Let's denote the number of tickets Alan handed out as A and the number of tickets Marcy handed out as M.
## Step 2: Translate the given information into equations
We know that together, Alan and Marcy handed out 150 tickets. This can be written as A + M = 150.
We also know that Marcy handed out 6 fewer than 5 times as many tickets as Alan. This can be written as M = 5A - 6.
## Step 3: Substitute the second equation into the first equation
Substituting M = 5A - 6 into A + M = 150 gives A + (5A - 6) = 150.
## Step 4: Solve for A
Simplifying the equation A + 5A - 6 = 150 gives 6A - 6 = 150.
Adding 6 to both sides gives 6A = 156.
Dividing both sides by 6 gives A = 26.
The final answer is: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</si>
  <si>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</si>
  <si>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</si>
  <si>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</si>
  <si>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</si>
  <si>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</si>
  <si>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 Step 1: Determine the size of the second biggest doll.
To find the size of the second biggest doll, we need to multiply the size of the biggest doll by 2/3. The biggest doll is 243 cm tall. So, the size of the second biggest doll is 243 * (2/3) = 162 cm.
## Step 2: Determine the size of the third biggest doll.
To find the size of the third biggest doll, we multiply the size of the second biggest doll by 2/3. So, the size of the third biggest doll is 162 * (2/3) = 108 cm.
## Step 3: Determine the size of the fourth biggest doll.
To find the size of the fourth biggest doll, we multiply the size of the third biggest doll by 2/3. So, the size of the fourth biggest doll is 108 * (2/3) = 72 cm.
## Step 4: Determine the size of the fifth biggest doll.
To find the size of the fifth biggest doll, we multiply the size of the fourth biggest doll by 2/3. So, the size of the fifth biggest doll is 72 * (2/3) = 48 cm.
## Step 5: Determine the size of the sixth biggest doll.
To find the size of the sixth biggest doll, we multiply the size of the fifth biggest doll by 2/3. So, the size of the sixth biggest doll is 48 * (2/3) = 32 cm.
The final answer is: ####32</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</si>
  <si>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</si>
  <si>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</si>
  <si>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 Step 1: Calculate the total number of toes for a Hoopit
A Hoopit has 3 toes on each of their 4 hands, so the total number of toes for a Hoopit is 3 * 4 = 12.
## Step 2: Calculate the total number of toes for a Neglart
A Neglart has 2 toes on each of their 5 hands, so the total number of toes for a Neglart is 2 * 5 = 10.
## Step 3: Calculate the total number of toes for all Hoopits on the bus
There are 7 Hoopit students on the bus, so the total number of toes for all Hoopits is 7 * 12 = 84.
## Step 4: Calculate the total number of toes for all Neglarts on the bus
There are 8 Neglart students on the bus, so the total number of toes for all Neglarts is 8 * 10 = 80.
## Step 5: Calculate the total number of toes on the bus
The total number of toes on the bus is the sum of the total number of toes for all Hoopits and all Neglarts, which is 84 + 80 = 164.
The final answer is: ####164</t>
  </si>
  <si>
    <t>Ocho has 8 friends and half are girls. His friends who are boys like to play theater with him. How many boys play theater with him?</t>
  </si>
  <si>
    <t>Half his friends are boys because 1 - 1/2 = 1/2
He plays with four boys because 8 x 1/2= &lt;&lt;8*1/2=4&gt;&gt;4
#### 4</t>
  </si>
  <si>
    <t>##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</si>
  <si>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</si>
  <si>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</si>
  <si>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 Step 1: Determine the time it took Manu to finish the race.
Manu took 12 more seconds than Patrick to finish the race. Since Patrick finished in 60 seconds, Manu finished in 60 + 12 = 72 seconds.
## Step 2: Calculate the time it took Amy to finish the race.
Amy is twice as fast as Manu. This means she takes half the time Manu does to finish the race. Since Manu took 72 seconds, Amy took 72 / 2 = 36 seconds.
The final answer is: ####36</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</si>
  <si>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</si>
  <si>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</si>
  <si>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 Step 1: Calculate the cost of the first pair of shoes.
The cost of the first pair of shoes is $22.
## Step 2: Calculate the cost of the second pair of shoes, which is 50% more expensive than the first pair.
To find the cost of the second pair, we need to calculate 50% of the cost of the first pair and add it to the cost of the first pair. 50% of $22 is 0.5 * $22 = $11. So, the cost of the second pair is $22 + $11 = $33.
## Step 3: Calculate the total cost of both pairs of shoes.
The total cost is the sum of the costs of the first and second pairs. Total cost = $22 + $33 = $55.
The final answer is: ####55</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</si>
  <si>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</si>
  <si>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</si>
  <si>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 Step 1: Calculate the total number of buckets fed to the sharks per day.
The sharks are fed 4 buckets of fish each day.
## Step 2: Calculate the total number of buckets fed to the dolphins per day.
The dolphins are fed half as many buckets as the sharks, so they are fed 4 / 2 = 2 buckets of fish each day.
## Step 3: Calculate the total number of buckets fed to the other sea animals per day.
The other sea animals are fed five times as many buckets as the sharks, so they are fed 4 * 5 = 20 buckets of fish each day.
## Step 4: Calculate the total number of buckets fed to all the animals per day.
Total buckets per day = buckets for sharks + buckets for dolphins + buckets for other sea animals = 4 + 2 + 20 = 26 buckets per day.
## Step 5: Calculate the total number of buckets fed to all the animals per week.
Since there are 7 days in a week, the total buckets per week = 26 * 7 = 182 buckets per week.
## Step 6: Calculate how many weeks 546 buckets of fish will last.
To find out how many weeks 546 buckets will last, divide the total number of buckets by the number of buckets used per week: 546 / 182 = 3.
The final answer is: ####3</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</si>
  <si>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</si>
  <si>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</si>
  <si>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 Step 1: Calculate the total number of people
There are 2 initial people (Theo and Tia) and 2 additional friends, making a total of 4 people.
## Step 2: Calculate the cost of sandwiches
Each sandwich costs $5, and there are 4 people, so the total cost of sandwiches is 5 * 4 = $20.
## Step 3: Calculate the cost of fruit salads
Each fruit salad costs $3, and there are 4 people, so the total cost of fruit salads is 3 * 4 = $12.
## Step 4: Calculate the cost of sodas
Each soda costs $2, and there are 2 sodas per person, so the total number of sodas is 2 * 4 = 8. The total cost of sodas is 8 * 2 = $16.
## Step 5: Calculate the cost of snack bags
Each snack bag costs $4, and there are 3 bags, so the total cost of snack bags is 4 * 3 = $12.
## Step 6: Calculate the total cost of the picnic basket contents
The total cost is the sum of the costs of sandwiches, fruit salads, sodas, and snack bags: $20 + $12 + $16 + $12 = $60.
The final answer is: ####60</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</si>
  <si>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</si>
  <si>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</si>
  <si>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 1 scoop of collagen powder has 18 / 2 = 9 grams of protein.
## 1 scoop of protein powder has 21 grams of protein.
## His steak has 56 grams of protein.
## Total grams of protein = 9 + 21 + 56 = 86 grams.
The final answer is: ####86</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</si>
  <si>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</si>
  <si>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</si>
  <si>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 Step 1: Calculate Nick's sister's age
Nick's sister is 6 years older than him, so her age is 13 + 6 = 19 years.
## Step 2: Calculate the combined age of Nick and his sister
The combined age of Nick and his sister is 13 + 19 = 32 years.
## Step 3: Calculate their brother's age
Their brother's age is half the combined age of Nick and his sister, so it is 32 / 2 = 16 years.
## Step 4: Calculate their brother's age in 5 years
In 5 years, their brother will be 16 + 5 = 21 years old.
The final answer is: ####21</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</si>
  <si>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</si>
  <si>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</si>
  <si>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 32</t>
  </si>
  <si>
    <t>Four kids can wash three whiteboards in 20 minutes. How long would it take, in minutes, for one kid to wash six whiteboards?</t>
  </si>
  <si>
    <t>One kid can wash three whiteboards in 20*4=&lt;&lt;20*4=80&gt;&gt;80 minutes.
One kid can wash six whiteboards in 80*(6/3)=160 minutes.
#### 160</t>
  </si>
  <si>
    <t>## Step 1: Determine the rate at which the kids can wash whiteboards
First, we establish the rate at which the kids can wash whiteboards. Since four kids can wash three whiteboards in 20 minutes, this means that the rate per kid can be found by dividing the total work done by the number of kids and the time taken.
## Step 2: Calculate the rate per kid
The rate per kid per minute can be calculated as follows: (3 whiteboards / 4 kids) / 20 minutes = 3/80 whiteboards per kid per minute.
## Step 3: Calculate the time for one kid to wash six whiteboards
To find out how long it would take for one kid to wash six whiteboards, we use the rate calculated in step 2. Since one kid can wash 3/80 whiteboards in one minute, to wash six whiteboards, it would take (6 whiteboards) / (3/80 whiteboards per minute) = 6 / (3/80) minutes.
## Step 4: Perform the calculation
6 / (3/80) = 6 * (80/3) = 480 / 3 = 160 minutes.
The final answer is: ####160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</si>
  <si>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</si>
  <si>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</si>
  <si>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 25</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</si>
  <si>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</si>
  <si>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</si>
  <si>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 Step 1: Calculate Brittney's onion chopping rate per minute
Brittney can chop 15 onions in 5 minutes, so her rate per minute is 15 onions / 5 minutes = 3 onions per minute.
## Step 2: Calculate Carl's onion chopping rate per minute
Carl can chop 20 onions in 5 minutes, so his rate per minute is 20 onions / 5 minutes = 4 onions per minute.
## Step 3: Calculate the number of onions Brittney can chop in 30 minutes
Brittney's rate is 3 onions per minute, so in 30 minutes she can chop 3 onions/minute * 30 minutes = 90 onions.
## Step 4: Calculate the number of onions Carl can chop in 30 minutes
Carl's rate is 4 onions per minute, so in 30 minutes he can chop 4 onions/minute * 30 minutes = 120 onions.
## Step 5: Find the difference in the number of onions Carl and Brittney can chop in 30 minutes
The difference in the number of onions Carl and Brittney can chop in 30 minutes is 120 onions - 90 onions = 30 onions.
The final answer is: ####30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</si>
  <si>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</si>
  <si>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</si>
  <si>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To calculate Martha's current weekly spending, we need to calculate her spending on lattes and iced coffees.
She buys 1 latte for $4.00 every morning, 5 days a week, so her weekly spending on lattes is:
$4.00 * 5 = $20.00
She buys an iced coffee for $2.00, 3 days a week, so her weekly spending on iced coffees is:
$2.00 * 3 = $6.00
Her total weekly spending on coffee is:
$20.00 + $6.00 = $26.00
Since there are 52 weeks in a year, her total yearly spending on coffee is:
$26.00 * 52 = $1,352.00
To cut her spending by 25%, she needs to reduce her spending by:
$1,352.00 * 0.25 = $338.00
So, Martha will save $338.00.
####338</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</si>
  <si>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</si>
  <si>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</si>
  <si>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 Step 1: Determine the number of free-throws DeShawn made.
DeShawn made 12 free-throws.
## Step 2: Calculate the number of free-throws Kayla made.
Kayla made 50% more than DeShawn. 50% of 12 is 0.5 * 12 = 6. So, Kayla made 12 + 6 = 18 free-throws.
## Step 3: Calculate the number of free-throws Annieka made.
Annieka made 4 fewer than Kayla. Kayla made 18, so Annieka made 18 - 4 = 14 free-throws.
The final answer is: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</si>
  <si>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</si>
  <si>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</si>
  <si>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 Step 1: Calculate the total number of seeds that can be planted in all pots.
To find out how many seeds will be planted in the fourth pot, we first need to determine the total number of seeds that can be planted in all pots. Since 3 seeds can be planted in 1 pot and Eunice has 4 pots, the total number of seeds that can be planted is 3 seeds/pot * 4 pots = 12 seeds.
## Step 2: Determine the number of seeds that will be planted in the first three pots.
Since each pot can hold 3 seeds, the first three pots will hold 3 seeds/pot * 3 pots = 9 seeds.
## Step 3: Calculate the number of seeds left for the fourth pot.
Eunice has 10 eggplant seeds. After planting 9 seeds in the first three pots, she will have 10 seeds - 9 seeds = 1 seed left for the fourth pot.
The final answer is: ####1</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</si>
  <si>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</si>
  <si>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</si>
  <si>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 Step 1: Calculate the total revenue from selling 5000 widgets
To find the total revenue, we multiply the number of widgets sold by the selling price of each widget. Total revenue = 5000 widgets * $8/widget = $40,000.
## Step 2: Calculate the total cost of purchasing 5000 widgets
The total cost of purchasing the widgets is found by multiplying the number of widgets by the cost per widget. Total cost = 5000 widgets * $3/widget = $15,000.
## Step 3: Calculate the gross profit from selling the widgets
Gross profit is the difference between the total revenue and the total cost of the widgets. Gross profit = Total revenue - Total cost = $40,000 - $15,000 = $25,000.
## Step 4: Calculate the total fixed costs (rent and worker salaries)
The total fixed costs include the rent and the salaries of the workers. Total fixed costs = $10,000 (rent) + $2,500 * 4 (worker salaries) = $10,000 + $10,000 = $20,000.
## Step 5: Calculate the net profit before taxes
The net profit before taxes is found by subtracting the total fixed costs from the gross profit. Net profit before taxes = Gross profit - Total fixed costs = $25,000 - $20,000 = $5,000.
## Step 6: Calculate the taxes owed
Taxes are 20% of the net profit before taxes. Taxes = 20% * $5,000 = 0.20 * $5,000 = $1,000.
## Step 7: Calculate the total profit or loss
The total profit or loss is the net profit before taxes minus the taxes owed. Total profit = Net profit before taxes - Taxes = $5,000 - $1,000 = $4,000.
The final answer is: ####4000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</si>
  <si>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</si>
  <si>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</si>
  <si>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 Step 1: Determine the score at the first away game
The team scored twice as many points at their last home game than their first away game. If they scored 62 points at their last home game, then they scored 62 / 2 = 31 points at their first away game.
## Step 2: Calculate the score at the second away game
At the second away game, they scored eighteen points more than the previous away game. So, the score at the second away game is 31 + 18 = 49 points.
## Step 3: Calculate the score at the third away game
At the third away game, they scored two more points than at their second. So, the score at the third away game is 49 + 2 = 51 points.
## Step 4: Calculate the cumulative points so far
The cumulative points from the last home game and the three away games are 62 + 31 + 49 + 51 = 193 points.
## Step 5: Determine the target cumulative points
The target cumulative points are four times the score from their last home game, which is 4 * 62 = 248 points.
## Step 6: Calculate the points needed in the next game
To reach the target cumulative points, the team needs to score 248 - 193 = 55 points in their next game.
The final answer is: ####55</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</si>
  <si>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</si>
  <si>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</si>
  <si>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 Step 1: Calculate the total cost of the replaced items
The original cost of the items that were replaced is $0.99 (can of tomatoes) + $1.00 (lettuce) + $1.96 (celery) = $3.95.
## Step 2: Calculate the total cost of the new items
The cost of the new items is $2.20 (new can of tomatoes) + $1.75 (new head of lettuce) + $2.00 (new celery) = $5.95.
## Step 3: Calculate the difference in cost between the original and new items
The difference in cost is $5.95 (new items) - $3.95 (original items) = $2.00.
## Step 4: Calculate the new total cost of the groceries before delivery and tip
The original order was $25, and the difference in cost due to the item changes is $2.00, so the new total cost of the groceries is $25 + $2.00 = $27.00.
## Step 5: Add the delivery and tip to the new total cost of the groceries
The total cost with delivery and tip is $27.00 (new groceries) + $8.00 (delivery and tip) = $35.00.
The final answer is: ####35</t>
  </si>
  <si>
    <t>James spends 40 years teaching.  His partner has been teaching for 10 years less.  How long is their combined experience?</t>
  </si>
  <si>
    <t>His partner has been teaching for 40-10=&lt;&lt;40-10=30&gt;&gt;30 years
So together they have 40+30=&lt;&lt;40+30=70&gt;&gt;70 years of experience
#### 70</t>
  </si>
  <si>
    <t>Randolph is 5 years older than Sydney. Sydney is twice as old as Sherry. If Sherry is 25, how old is Randolph?</t>
  </si>
  <si>
    <t>Sydney is 25*2 = &lt;&lt;25*2=50&gt;&gt;50 years old.
Randolph is 50+5 = &lt;&lt;50+5=55&gt;&gt;55 years old.
#### 55</t>
  </si>
  <si>
    <t>## Step 1: Determine Sherry's age
Sherry is 25 years old.
## Step 2: Calculate Sydney's age
Sydney is twice as old as Sherry, so Sydney's age is 2 * 25 = 50 years old.
## Step 3: Calculate Randolph's age
Randolph is 5 years older than Sydney, so Randolph's age is 50 + 5 = 55 years old.
The final answer is: ####55</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</si>
  <si>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</si>
  <si>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</si>
  <si>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 25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</si>
  <si>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</si>
  <si>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</si>
  <si>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 Step 1: Calculate the number of pencils Jeff donated.
Jeff had 300 pencils and donated 30% of them. To find out how many pencils Jeff donated, we calculate 30% of 300, which is 0.3 * 300 = 90 pencils.
## Step 2: Calculate the number of pencils Jeff has remaining.
After donating 90 pencils, Jeff is left with 300 - 90 = 210 pencils.
## Step 3: Determine the number of pencils Vicki had initially.
Vicki had twice as many pencils as Jeff, who had 300 pencils. So, Vicki had 2 * 300 = 600 pencils.
## Step 4: Calculate the number of pencils Vicki donated.
Vicki donated 3/4 of her pencils. To find out how many pencils Vicki donated, we calculate 3/4 * 600 = 450 pencils.
## Step 5: Calculate the number of pencils Vicki has remaining.
After donating 450 pencils, Vicki is left with 600 - 450 = 150 pencils.
## Step 6: Calculate the total number of pencils remaining altogether.
To find the total number of pencils remaining, we add the number of pencils Jeff has left to the number of pencils Vicki has left: 210 (Jeff's remaining pencils) + 150 (Vicki's remaining pencils) = 360 pencils.
The final answer is: ####360</t>
  </si>
  <si>
    <t>A train travels 360 miles in 3 hours. At the same rate, how many additional hours would it take to travel an additional 240 miles?</t>
  </si>
  <si>
    <t>The rate is 360/3=&lt;&lt;360/3=120&gt;&gt;120 mph.
Then it would take 240/120=&lt;&lt;240/120=2&gt;&gt;2 additional hours.
#### 2</t>
  </si>
  <si>
    <t>## Step 1: Calculate the rate of the train
To find the rate of the train, we divide the distance it traveled by the time it took. So, the rate is 360 miles / 3 hours = 120 miles per hour.
## Step 2: Calculate the time to travel an additional 240 miles
Using the rate calculated in step 1, we can find the time it would take to travel an additional 240 miles. Time = distance / rate = 240 miles / 120 miles per hour.
## Step 3: Perform the division to find the time
240 miles / 120 miles per hour = 2 hours.
The final answer is: ####2</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</si>
  <si>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</si>
  <si>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</si>
  <si>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 Step 1: Calculate how far Amy biked yesterday
Amy biked 12 miles yesterday.
## Step 2: Calculate how far Amy biked today
Today, Amy biked 3 miles less than twice as far as yesterday. Twice as far as yesterday is 2 * 12 = 24 miles. 3 miles less than that is 24 - 3 = 21 miles.
## Step 3: Calculate the total miles Amy biked in the two days
To find the total miles Amy biked, we add the miles from yesterday and today. Total miles = 12 + 21 = 33 miles.
The final answer is: ####33</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</si>
  <si>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</si>
  <si>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</si>
  <si>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 Step 1: Calculate the number of tomatoes Jane picked the first time.
Jane picks 1/4 of 100 tomatoes, which is (1/4) * 100 = 25 tomatoes.
## Step 2: Calculate the remaining tomatoes after the first pick.
100 - 25 = 75 tomatoes remain after the first pick.
## Step 3: Calculate the number of tomatoes remaining after Jane picks 20 more.
75 - 20 = 55 tomatoes remain after the second pick.
## Step 4: Calculate the number of tomatoes Jane picks the third time.
Jane picks twice the number she picked the second time, which is 2 * 20 = 40 tomatoes.
## Step 5: Calculate the final number of tomatoes remaining.
55 - 40 = 15 tomatoes remain after the third pick.
The final answer is: ####15</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</si>
  <si>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</si>
  <si>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</si>
  <si>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 Step 1: Calculate the total number of picks based on the proportion of blue picks.
Since one-third of the picks are blue and Johnny has 12 blue picks, we can calculate the total number of picks. Let's denote the total number of picks as T. The equation for the blue picks is (1/3)T = 12.
## Step 2: Solve for the total number of picks.
To find T, we multiply both sides of the equation by 3 to isolate T. This gives us T = 12 * 3 = 36. So, Johnny has a total of 36 picks.
## Step 3: Calculate the number of red picks.
Half of the picks are red. Since Johnny has 36 picks in total, the number of red picks is (1/2) * 36 = 18.
## Step 4: Calculate the number of yellow picks.
The rest of the picks are yellow. We already know that there are 12 blue picks and 18 red picks. So, the number of yellow picks is the total number of picks minus the number of red and blue picks. Yellow picks = Total picks - (Red picks + Blue picks) = 36 - (18 + 12).
## Step 5: Perform the subtraction to find the number of yellow picks.
Yellow picks = 36 - 30 = 6.
The final answer is: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</si>
  <si>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</si>
  <si>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</si>
  <si>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 Step 1: Define the variables for the problem
Let's denote the number of vampires as V and the number of werewolves as W. We know that W = 4V, since there were 4 times as many werewolves as vampires.
## Step 2: Calculate the earnings from removing vampires and werewolves
Van Helsing removes half the vampires, so he earns $5 * (V/2) from vampires. He also removes 8 werewolves, earning $10 * 8 from werewolves. His total earnings are $105.
## Step 3: Set up the equation based on the earnings
The equation for his total earnings is: 5 * (V/2) + 10 * 8 = 105. This simplifies to 2.5V + 80 = 105.
## Step 4: Solve the equation for V
Subtract 80 from both sides: 2.5V = 25. Then divide by 2.5: V = 10.
## Step 5: Calculate the total number of werewolves
Since W = 4V, and V = 10, W = 4 * 10 = 40.
## Step 6: Calculate the percentage of werewolves removed
Van Helsing removed 8 werewolves out of 40. The percentage removed is (8 / 40) * 100 = 20%.
The final answer is: ####20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</si>
  <si>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</si>
  <si>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</si>
  <si>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To find the percent of vinegar left after 2 years, we need to calculate the amount of vinegar left after each year.
Initially, there is 100% of the vinegar.
After 1 year, 20% of the vinegar evaporates, so 80% of the vinegar is left.
After 2 years, another 20% of the remaining vinegar evaporates. This means 20% of 80% evaporates, which is 0.2 x 0.8 = 0.16 or 16%. So, 80% - 16% = 64% of the vinegar is left.
Therefore, the percent of vinegar left after 2 years is 64%.
#### 64</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</si>
  <si>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</si>
  <si>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</si>
  <si>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 Step 1: Calculate the number of stairs Samir climbed.
Samir climbed 318 stairs.
## Step 2: Calculate the number of stairs Veronica climbed.
Veronica climbed 18 more than half the amount Samir climbed. Half of 318 is 318 / 2 = 159. So, Veronica climbed 159 + 18 = 177 stairs.
## Step 3: Calculate the total number of stairs climbed by both Samir and Veronica.
Total stairs climbed = stairs climbed by Samir + stairs climbed by Veronica = 318 + 177 = 495.
The final answer is: ####495</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</si>
  <si>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</si>
  <si>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</si>
  <si>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</si>
  <si>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</si>
  <si>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 Step 1: Calculate the number of goldfish that need special food
20% of the 50 goldfish need special food. To find 20% of 50, we multiply 50 by 0.20. So, 50 * 0.20 = 10 goldfish need special food.
## Step 2: Calculate the amount of special food needed per day
Each goldfish eats 1.5 ounces of food per day. Since 10 goldfish need special food, we multiply 10 by 1.5 to find the total amount of special food needed. So, 10 * 1.5 = 15 ounces of special food are needed per day.
## Step 3: Calculate the cost of the special food per day
The special food costs $3 per ounce. To find the cost of 15 ounces, we multiply 15 by $3. So, 15 * $3 = $45.
The final answer is: $45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</si>
  <si>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</si>
  <si>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</si>
  <si>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 Step 1: Calculate the total number of pie pieces produced in one hour
The bakery can make 12 pies in one hour, and each pie has 3 pieces, so the total number of pie pieces produced in one hour is 12 * 3 = 36.
## Step 2: Calculate the total revenue from selling all pie pieces in one hour
Each pie piece costs $4, so the total revenue from selling all 36 pie pieces is 36 * $4 = $144.
## Step 3: Calculate the total cost of producing 12 pies in one hour
The cost of producing one pie is $0.5, so the total cost of producing 12 pies is 12 * $0.5 = $6.
## Step 4: Calculate the profit made by the bakery in one hour
The profit is the total revenue minus the total cost, so the profit made by the bakery in one hour is $144 - $6 = $138.
The final answer is: ####138</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</si>
  <si>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</si>
  <si>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</si>
  <si>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 Step 1: Calculate the amount of fabric delivered on Monday
Daniel delivers 20 yards of fabric on Monday.
## Step 2: Calculate the amount of fabric delivered on Tuesday
He delivers twice the amount of fabric on Tuesday compared to Monday, so 2 * 20 = 40 yards.
## Step 3: Calculate the amount of fabric delivered on Wednesday
He delivers 1/4 of the amount of fabric on Wednesday compared to Tuesday, so 1/4 * 40 = 10 yards.
## Step 4: Calculate the total amount of fabric delivered from Monday to Wednesday
Total fabric delivered = 20 + 40 + 10 = 70 yards.
## Step 5: Calculate the total earnings from delivering fabric
Each yard of fabric costs $2, so total earnings from fabric = 70 * $2 = $140.
## Step 6: Since there is no information about delivering yarn, we only consider the earnings from fabric.
Total earnings = $140.
The final answer is: ####140</t>
  </si>
  <si>
    <t>Alice and Emily are selling oranges at the farmer's market. Alice sold twice as many oranges as Emily did. In total, they sold 180 oranges. How many oranges did Alice sell?</t>
  </si>
  <si>
    <t>Emily sold 180/3=&lt;&lt;180/3=60&gt;&gt;60 oranges.
Alice sold 60*2=&lt;&lt;60*2=120&gt;&gt;120 oranges.
#### 120</t>
  </si>
  <si>
    <t>## Step 1: Define the relationship between the number of oranges Alice and Emily sold.
Let's denote the number of oranges Emily sold as E. Since Alice sold twice as many oranges as Emily, the number of oranges Alice sold can be denoted as 2E.
## Step 2: Express the total number of oranges sold by both Alice and Emily.
The total number of oranges sold is the sum of the oranges sold by Alice and Emily, which can be expressed as E + 2E = 3E.
## Step 3: Set up the equation based on the total number of oranges sold.
We know that the total number of oranges sold is 180. Therefore, the equation can be set up as 3E = 180.
## Step 4: Solve for E to find the number of oranges Emily sold.
To find E, we divide both sides of the equation by 3: E = 180 / 3 = 60.
## Step 5: Calculate the number of oranges Alice sold.
Since Alice sold twice as many oranges as Emily, and Emily sold 60 oranges, Alice sold 2 * 60 = 120 oranges.
The final answer is: ####120</t>
  </si>
  <si>
    <t>A pool has 48 blue tiles and 32 red tiles. If the pool needs 100 tiles to be completed, how many more tiles are needed?</t>
  </si>
  <si>
    <t>The pool currently has 48+32 = &lt;&lt;48+32=80&gt;&gt;80 tiles.
The pool needs 100-80 = &lt;&lt;100-80=20&gt;&gt;20 more tiles to be completed.
#### 20</t>
  </si>
  <si>
    <t>## 20</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</si>
  <si>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</si>
  <si>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</si>
  <si>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 Step 1: Determine the number of toys Annie has.
Annie has three times more toys than Mike. Since Mike has 6 toys, Annie has 3 * 6 = 18 toys.
## Step 2: Determine the number of toys Tom has.
Annie has two less toys than Tom. So, Tom has 18 + 2 = 20 toys.
## Step 3: Calculate the total number of toys Annie, Mike, and Tom have.
To find the total number of toys, we add the number of toys each person has: 18 (Annie) + 6 (Mike) + 20 (Tom) = 44 toys.
The final answer is: ####44</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</si>
  <si>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</si>
  <si>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</si>
  <si>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 Step 1: Calculate the total number of lids Aaron got from the boxes
Aaron ends up with 53 lids and he already had 14, so the number of lids he got from the boxes is 53 - 14 = 39.
## Step 2: Determine the number of lids per box
Since Aaron used 3 equal-sized boxes, we divide the total number of lids he got from the boxes by 3 to find out how many lids he got from each box. lids_per_box = 39 / 3 = 13.
The final answer is: ####13</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</si>
  <si>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</si>
  <si>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</si>
  <si>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 Step 1: Calculate the total cost of the plates
Chenny bought 9 plates at $2 each, so the total cost of the plates is 9 * $2 = $18.
## Step 2: Calculate the remaining amount of money spent on spoons
Chenny paid a total of $24 for the plates and spoons. Since she spent $18 on plates, the amount spent on spoons is $24 - $18 = $6.
## Step 3: Calculate the number of spoons Chenny bought
Each spoon costs $1.50, and Chenny spent $6 on spoons. To find out how many spoons she bought, we divide the total amount spent on spoons by the cost of each spoon: $6 / $1.50 = 4.
The final answer is: ####4</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</si>
  <si>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</si>
  <si>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</si>
  <si>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 Step 1: Define the number of spaces in each section
Let's denote the number of spaces in section 1 as S1, the number of spaces in section 2 as S2, and the number of spaces in section 3 as S3. We know that S1 = 320.
## Step 2: Express the relationship between the number of spaces in sections 2 and 3
We are told there are 200 more spaces in section 2 than in section 3. Therefore, S2 = S3 + 200.
## Step 3: Express the total number of spaces in the parking lot
The total number of spaces in the parking lot is 1000, which means S1 + S2 + S3 = 1000.
## Step 4: Substitute known values into the equation
Substituting S1 = 320 and S2 = S3 + 200 into the equation S1 + S2 + S3 = 1000 gives us 320 + (S3 + 200) + S3 = 1000.
## Step 5: Solve for S3
Simplifying the equation, we get 320 + S3 + 200 + S3 = 1000, which simplifies further to 520 + 2S3 = 1000. Subtracting 520 from both sides gives 2S3 = 480. Dividing both sides by 2 gives S3 = 240.
## Step 6: Solve for S2
Now that we know S3 = 240, we can find S2 using the relationship S2 = S3 + 200. Therefore, S2 = 240 + 200 = 440.
The final answer is: ####440</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</si>
  <si>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</si>
  <si>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</si>
  <si>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 Step 1: Define Hiram's age
Hiram is 40 years old.
## Step 2: Translate the given information into an equation
Let A be Allyson's age. The equation based on the given information is: 40 + 12 = 2A - 4.
## Step 3: Simplify the equation
52 = 2A - 4.
## Step 4: Add 4 to both sides of the equation
56 = 2A.
## Step 5: Divide both sides of the equation by 2 to solve for A
A = 56 / 2 = 28.
The final answer is: ####28</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</si>
  <si>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</si>
  <si>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</si>
  <si>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 Step 1: Calculate the number of married women at the party.
To find the number of married women, we need to calculate three-fourths of the total number of women at the party. The total number of women is 60, so three-fourths of 60 is (3/4) * 60 = 45.
## Step 2: Determine the number of husbands at the party.
Since each married woman brought her husband, the number of husbands (married men) at the party is equal to the number of married women, which is 45.
## Step 3: Calculate the total number of men at the party.
We know that 3/4 of the men at the party were single. If we let the total number of men be M, then the number of single men is (3/4)M. Since the remaining 1/4 of the men are married, we have (1/4)M = 45 (from the number of husbands). To find M, we solve the equation (1/4)M = 45 for M. Multiplying both sides by 4 gives M = 45 * 4 = 180.
## Step 4: Calculate the total number of people at the party.
The total number of people at the party is the sum of the total number of women and the total number of men. We already know there are 60 women. From Step 3, we found that there are 180 men. So, the total number of people is 60 (women) + 180 (men) = 240.
The final answer is: ####240</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</si>
  <si>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</si>
  <si>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</si>
  <si>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 40
To find out how many doubles Rob has, we need to divide the total number of his cards by 3. Since Rob has 24 baseball cards, and one third of them are doubles, we calculate 24 / 3 = 8 doubles.
Now, we know Jess has 5 times as many doubles as Rob. So, we multiply the number of Rob's doubles by 5. This gives us 8 * 5 = 40 doubles. 
The final answer is: ####40</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</si>
  <si>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</si>
  <si>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</si>
  <si>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 Step 1: Determine the ratio of vertical to horizontal movement
John travels 1 foot vertically for every 2 feet horizontally, which gives us a ratio of vertical to horizontal movement of 1:2.
## Step 2: Calculate the total vertical distance traveled
The total vertical distance traveled is the difference between the final elevation and the initial elevation, which is 1450 - 100 = 1350 feet.
## Step 3: Use the ratio to find the horizontal distance traveled
Since the ratio of vertical to horizontal movement is 1:2, for every 1 foot of vertical movement, John moves 2 feet horizontally. Therefore, the horizontal distance traveled is 2 times the vertical distance, which is 2 * 1350 = 2700 feet.
The final answer is: $\boxed{2700}$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</si>
  <si>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</si>
  <si>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</si>
  <si>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 Step 1: Determine the selling price of the more expensive house.
The more expensive house sells for 1.5 times as much as the other houses, which sell at $320,000 each. So, the selling price of the more expensive house is 1.5 * $320,000 = $480,000.
## Step 2: Calculate the construction cost of the regular houses.
Let's denote the construction cost of each of the regular houses as X. The problem states that the cost of building the certain house is $100,000 more than the construction cost of each of the houses in the area. Therefore, the construction cost of the more expensive house is X + $100,000.
## Step 3: Determine the construction cost of the regular houses.
Since the regular houses sell at $320,000 and we need to find the construction cost, we first need to establish the relationship between the costs and the selling price. However, the problem directly implies that the extra $100,000 spent on construction results in a selling price increase. To find the construction cost of the regular houses (X), we need to use the information about the selling prices and the fact that the more expensive house costs $100,000 more to build.
## Step 4: Calculate the profit from selling a regular house.
The profit from selling a regular house is the selling price minus the construction cost, which is $320,000 - X.
## Step 5: Calculate the profit from selling the more expensive house.
The profit from selling the more expensive house is its selling price minus its construction cost, which is $480,000 - (X + $100,000).
## Step 6: Find the difference in profit between the two types of houses.
The difference in profit is the profit from the more expensive house minus the profit from a regular house, which is [$480,000 - (X + $100,000)] - ($320,000 - X).
## Step 7: Simplify the expression for the difference in profit.
Simplifying, we get $480,000 - X - $100,000 - $320,000 + X = $60,000.
## Step 8: Interpret the result.
This means that spending the extra $100,000 to build the more expensive house results in a $60,000 increase in profit compared to building and selling a regular house.
The final answer is: ####60000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</si>
  <si>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</si>
  <si>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</si>
  <si>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 Step 1: Calculate the total number of apples eaten by the children.
The total number of apples eaten by the children can be found by multiplying the number of children by the number of apples each child ate. total_apples_by_children = 33 * 10 = 330.
## Step 2: Determine the number of apples left after the children ate their share.
To find out how many apples are left for the adults, subtract the total number of apples eaten by the children from the total number of apples picked. apples_left = 450 - 330 = 120.
## Step 3: Calculate the number of adults in the family.
Since each adult ate 3 apples, the number of adults can be found by dividing the number of apples left by the number of apples each adult ate. number_of_adults = apples_left / 3 = 120 / 3 = 40.
The final answer is: ####40</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</si>
  <si>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</si>
  <si>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</si>
  <si>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 Step 1: Calculate the total number of English books in the library.
First, we need to find out how many books are in English. Since 80% of all the books are in English, we calculate 80% of 2300.
## Step 2: Perform the calculation for the number of English books.
80% of 2300 = 0.8 * 2300 = 1840 books.
## Step 3: Calculate the number of English books published in the country.
Next, we find out how many of these English books were published in the country. 60% of the English books were published in the country, so we calculate 60% of 1840.
## Step 4: Perform the calculation for the number of English books published in the country.
60% of 1840 = 0.6 * 1840 = 1104 books.
## Step 5: Calculate the number of English books published outside the country.
To find the number of English books published outside the country, we subtract the number of English books published in the country from the total number of English books.
## Step 6: Perform the calculation for the number of English books published outside the country.
Number of English books published outside the country = Total number of English books - Number of English books published in the country = 1840 - 1104 = 736 books.
The final answer is: ####736</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</si>
  <si>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</si>
  <si>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</si>
  <si>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 Step 1: Calculate the amount James received for his old car
To find out how much James got for his old car, we need to calculate 80% of its value. The value of his old car is $20,000. So, 80% of $20,000 is 0.8 * $20,000 = $16,000.
## Step 2: Calculate the amount James paid for the new car
Next, we calculate how much James paid for the new car, which had a sticker price of $30,000. He was able to buy it for 90% of its value. So, 90% of $30,000 is 0.9 * $30,000 = $27,000.
## Step 3: Determine how much James was out of pocket
To find out how much James was out of pocket, we subtract the amount he received for his old car from the amount he paid for the new car. So, the calculation is $27,000 (new car) - $16,000 (old car) = $11,000.
The final answer is: ####$11,000</t>
  </si>
  <si>
    <t>John was 66 inches tall.  He had a growth spurt and grew 2 inches per month for 3 months.  How tall is he in feet?</t>
  </si>
  <si>
    <t>He gained 2*3=&lt;&lt;2*3=6&gt;&gt;6 inches
So his height is 66+6=&lt;&lt;66+6=72&gt;&gt;72 inches
So he is 72/12=&lt;&lt;72/12=6&gt;&gt;6 feet tall
#### 6</t>
  </si>
  <si>
    <t>To find John's new height, we need to calculate how many inches he grew and add it to his original height.
He grew 2 inches per month for 3 months, so he grew a total of 2 x 3 = 6 inches.
His original height was 66 inches, so his new height is 66 + 6 = 72 inches.
Since there are 12 inches in 1 foot, we can convert his height to feet by dividing by 12:
72 inches / 12 = 6 feet
So, John is now 6 feet tall.
####6</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</si>
  <si>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</si>
  <si>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</si>
  <si>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 Step 1: Calculate the total amount of sugar removed by the ants in the first three hours.
The ants remove 4 ounces of sugar every hour. So, in three hours, they remove 4 * 3 = 12 ounces of sugar.
## Step 2: Determine the amount of sugar remaining after three hours.
The bag originally held 24 ounces of sugar. After the ants removed 12 ounces in the first three hours, 24 - 12 = 12 ounces of sugar remain.
## Step 3: Calculate how many more hours the ants will need to harvest the remaining sugar.
Since the ants remove 4 ounces of sugar every hour, to remove the remaining 12 ounces, they will need 12 / 4 = 3 more hours.
The final answer is: ####3</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</si>
  <si>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</si>
  <si>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</si>
  <si>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 130</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</si>
  <si>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</si>
  <si>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</si>
  <si>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 Step 1: Define the variables for the problem
Let's denote Michael's current age as \(M\), the age of the older brother as \(O\), and the age of the younger brother as \(Y\). We are given that \(Y = 5\).
## Step 2: Translate the given information into equations
From the problem, we have two key pieces of information:
1. The older brother is 1 year older than twice Michael's age when Michael was a year younger. This can be written as \(O = 2(M - 1) + 1\).
2. The younger brother is 5 years old, which is a third of the age of the older brother. This gives us \(Y = \frac{1}{3}O\), and since \(Y = 5\), we have \(5 = \frac{1}{3}O\).
## Step 3: Solve for the age of the older brother
Using the equation \(5 = \frac{1}{3}O\), we can solve for \(O\):
\(O = 5 \times 3 = 15\).
## Step 4: Solve for Michael's age
Now, using the equation \(O = 2(M - 1) + 1\) and substituting \(O = 15\), we get:
\(15 = 2(M - 1) + 1\).
Simplifying, we have:
\(15 = 2M - 2 + 1\),
\(15 = 2M - 1\),
\(2M = 16\),
\(M = 8\).
## Step 5: Calculate the combined age
The combined age of the three brothers is \(M + O + Y = 8 + 15 + 5\).
## Step 6: Perform the final calculation
\(8 + 15 + 5 = 28\).
The final answer is: ####28</t>
  </si>
  <si>
    <t>There are 6 dogs and 2 ducks in the garden. How many feet are there in the garden?</t>
  </si>
  <si>
    <t>6 dogs have 6 x 4 = &lt;&lt;6*4=24&gt;&gt;24 feet.
2 ducks have 2 x 2 = &lt;&lt;2*2=4&gt;&gt;4 feet
In total there are 24 + 4 = &lt;&lt;24+4=28&gt;&gt;28 feet in the garden
#### 28</t>
  </si>
  <si>
    <t>#### 22</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</si>
  <si>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</si>
  <si>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</si>
  <si>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To find out how many weeks it will take Matt and Blake to watch the whole series, we need to calculate how many episodes they watch per week and then divide the total number of episodes by that number.
They watch 1 episode every Monday and 2 episodes every Wednesday, so they watch 1 + 2 = 3 episodes per week.
Now, we divide the total number of episodes (201) by the number of episodes they watch per week (3):
201 / 3 = 67
So, it will take them 67 weeks to watch the whole series.
#### 67</t>
  </si>
  <si>
    <t>A luxury bag costs $3000. A reseller wants to get a 15% profit. How much should she sell the bag?</t>
  </si>
  <si>
    <t>The reseller wants to get $3000 x 15/100 = $&lt;&lt;3000*15/100=450&gt;&gt;450 profit.
Thus, she needs to sell it for $3000 + $450 = $&lt;&lt;3000+450=3450&gt;&gt;3450.
#### 3450</t>
  </si>
  <si>
    <t>#### 3450</t>
  </si>
  <si>
    <t>John plants a plot of 3 trees by 4 trees.  Each tree gives 5 apples.  He sells each apple for $.5.  How much money does he make, in dollars?</t>
  </si>
  <si>
    <t>He has 3*4=&lt;&lt;3*4=12&gt;&gt;12 trees
So he has 12*5=&lt;&lt;12*5=60&gt;&gt;60 apples
So he sells the apples for 60*.5=$&lt;&lt;60*.5=30&gt;&gt;30
#### 30</t>
  </si>
  <si>
    <t>#### 30.0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</si>
  <si>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</si>
  <si>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</si>
  <si>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 5
To find out how many days it will take for Bill's roof to collapse, we first need to determine how many leaves his roof can bear before it collapses. Since 1000 leaves weigh 1 pound and his roof can bear 500 pounds, we calculate the total number of leaves his roof can bear as follows:
500 pounds * 1000 leaves/pound = 500,000 leaves
Next, we divide the total number of leaves his roof can bear by the number of leaves that fall on his roof each day to find out how many days it will take for his roof to collapse:
500,000 leaves / 100 leaves/day = 5,000 days
However, the question seems to be asking for a much shorter timeframe based on a misunderstanding of the calculation. Let's correct the approach based on the information given and the likely intent of the question:
If 100 leaves fall every day and 1000 leaves weigh 1 pound, then:
- 100 leaves = 0.1 pounds (since 1000 leaves = 1 pound)
Each day, 0.1 pounds are added to the roof. To find out how many days it takes to reach 500 pounds:
500 pounds / 0.1 pounds/day = 5,000 days
Given the context, it seems there was an error in interpreting the question's intent. The calculation provided earlier aligns with the information given but seems to misinterpret the question's scale. The correct interpretation based on the provided numbers and the usual context of such problems would indeed focus on the weight accumulation rate. However, my initial interpretation aimed to directly address the calculation error, leading to a misleadingly large number of days. The question's framing suggests looking for when the roof would be at risk, implying a need to reconsider the weight accumulation in the context of daily leaf fall and the roof's capacity. 
The final answer is: $\boxed{5000}$</t>
  </si>
  <si>
    <t>A sack of rice, which is 50 kilograms,  costs $50. If David sells it for $1.20 per kilogram, how much will be his profit?</t>
  </si>
  <si>
    <t>David's revenue for the 50 kilograms of rice is $1.20 x 50 = $&lt;&lt;1.20*50=60&gt;&gt;60.
So, his profit is $60 - $50 = $&lt;&lt;60-50=10&gt;&gt;10.
#### 10</t>
  </si>
  <si>
    <t>## Step 1: Calculate the total cost of the sack of rice
The total cost of the sack of rice is $50.
## Step 2: Calculate the total revenue from selling the sack of rice
David sells the rice for $1.20 per kilogram. Since the sack of rice is 50 kilograms, the total revenue will be 50 * $1.20 = $60.
## Step 3: Calculate the profit
The profit is calculated by subtracting the total cost from the total revenue. So, the profit will be $60 - $50 = $10.
The final answer is: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</si>
  <si>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</si>
  <si>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</si>
  <si>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 Step 1: Calculate the number of sweaters Kim knit on Monday.
Kim knit 8 sweaters on Monday.
## Step 2: Calculate the number of sweaters Kim knit on Tuesday.
Kim knit 2 more sweaters on Tuesday than on Monday, so she knit 8 + 2 = 10 sweaters on Tuesday.
## Step 3: Calculate the number of sweaters Kim knit on Wednesday.
Kim knit 4 fewer sweaters on Wednesday than on Tuesday, so she knit 10 - 4 = 6 sweaters on Wednesday.
## Step 4: Calculate the number of sweaters Kim knit on Thursday.
Kim also knit 4 fewer sweaters on Thursday than on Tuesday, so she knit 10 - 4 = 6 sweaters on Thursday.
## Step 5: Calculate the number of sweaters Kim knit on Friday.
Kim knit half the number of sweaters she had knit on Monday on Friday, so she knit 8 / 2 = 4 sweaters on Friday.
## Step 6: Calculate the total number of sweaters Kim knit that week.
Total sweaters = Monday + Tuesday + Wednesday + Thursday + Friday = 8 + 10 + 6 + 6 + 4 = 34 sweaters.
The final answer is: ####34</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</si>
  <si>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</si>
  <si>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</si>
  <si>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 Step 1: Determine the initial number of cars Derek had when he was six years old.
Since Derek had three times as many dogs as cars when he was six, and he had 90 dogs, we can find the number of cars by dividing the number of dogs by 3. So, the initial number of cars = 90 / 3 = 30.
## Step 2: Calculate the total number of cars Derek has now.
Derek bought 210 more cars over the ten years. So, the total number of cars now = initial number of cars + 210 = 30 + 210 = 240.
## Step 3: Determine the current number of dogs Derek has.
After selling some of his dogs, the number of cars became twice the number of dogs. Let's denote the current number of dogs as D. We know that the number of cars (240) is twice the number of dogs (D). So, we can set up the equation 240 = 2D.
## Step 4: Solve the equation to find the current number of dogs.
To find D, we divide both sides of the equation by 2. Thus, D = 240 / 2 = 120.
The final answer is: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</si>
  <si>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</si>
  <si>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</si>
  <si>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 Step 1: Calculate the number of days in 6 weeks
There are 7 days in a week, so 6 weeks will have 6 * 7 = 42 days.
## Step 2: Calculate the total number of pages Janet reads in 6 weeks
Janet reads 80 pages a day, so in 42 days, she will read 80 * 42 = 3360 pages.
## Step 3: Calculate the total number of pages Belinda reads in 6 weeks
Belinda reads 30 pages a day, so in 42 days, she will read 30 * 42 = 1260 pages.
## Step 4: Calculate the difference in the number of pages Janet and Belinda read
The difference in the number of pages Janet and Belinda read is 3360 - 1260 = 2100 pages.
The final answer is: ####2100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</si>
  <si>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</si>
  <si>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</si>
  <si>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 Step 1: Calculate the total cost of the spiral notebooks
The cost of one spiral notebook is $15. To find the total cost of 4 spiral notebooks, we multiply the cost of one notebook by 4. total_notebooks_cost = 15 * 4 = $60.
## Step 2: Calculate the total cost of the personal planners
The cost of one personal planner is $10. To find the total cost of 8 personal planners, we multiply the cost of one planner by 8. total_planners_cost = 10 * 8 = $80.
## Step 3: Calculate the total cost of both spiral notebooks and personal planners
To find the total cost before the discount, we add the total cost of the spiral notebooks and the total cost of the personal planners. total_cost_before_discount = total_notebooks_cost + total_planners_cost = $60 + $80 = $140.
## Step 4: Apply the 20% discount to the total cost
To apply a 20% discount, we first find 20% of the total cost before the discount, then subtract this amount from the total cost. discount_amount = 20% of $140 = 0.20 * $140 = $28. total_cost_after_discount = total_cost_before_discount - discount_amount = $140 - $28 = $112.
The final answer is: ####112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</si>
  <si>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</si>
  <si>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</si>
  <si>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 Step 1: Calculate the total minutes in a day
There are 24 hours in a day, and each hour has 60 minutes. So, the total minutes in a day are 24 * 60 = 1440 minutes.
## Step 2: Calculate the time spent watching TV
Mia spent 1/5 of her day watching TV. So, the time spent watching TV is 1/5 * 1440 = 288 minutes.
## Step 3: Calculate the time left after watching TV
The time left after watching TV is 1440 - 288 = 1152 minutes.
## Step 4: Calculate the time spent studying
Mia spent 1/4 of the time left on studying. So, the time spent studying is 1/4 * 1152 = 288 minutes.
The final answer is: ####288</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</si>
  <si>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</si>
  <si>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</si>
  <si>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 Step 1: Calculate the total number of tickets
The total number of tickets is found by multiplying the number of rolls by the number of tickets per roll. total_tickets = 30 rolls * 100 tickets/roll = 3000 tickets.
## Step 2: Calculate the number of tickets bought by the 4th graders
The 4th graders bought 30% of the total tickets. tickets_bought_by_4th_graders = 30% * 3000 = 0.3 * 3000 = 900 tickets.
## Step 3: Calculate the number of tickets remaining after the 4th graders bought their tickets
tickets_remaining_after_4th_graders = total_tickets - tickets_bought_by_4th_graders = 3000 - 900 = 2100 tickets.
## Step 4: Calculate the number of tickets bought by the 5th graders
The 5th graders bought 50% of the remaining tickets. tickets_bought_by_5th_graders = 50% * tickets_remaining_after_4th_graders = 0.5 * 2100 = 1050 tickets.
## Step 5: Calculate the number of tickets remaining after the 5th graders bought their tickets
tickets_remaining_after_5th_graders = tickets_remaining_after_4th_graders - tickets_bought_by_5th_graders = 2100 - 1050 = 1050 tickets.
## Step 6: Calculate the number of tickets remaining after the 6th graders bought their tickets
The 6th graders bought 100 tickets. tickets_remaining_after_6th_graders = tickets_remaining_after_5th_graders - 100 = 1050 - 100 = 950 tickets.
The final answer is: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</si>
  <si>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</si>
  <si>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</si>
  <si>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 Step 1: Calculate the total amount of money James saves in four weeks.
James earns $10 per week. So, in four weeks, he saves 10 * 4 = $40.
## Step 2: Determine how much money James spends on the new video game.
James spends half of his savings on a new video game. Half of $40 is 40 / 2 = $20.
## Step 3: Calculate how much money James has left after buying the video game.
After spending $20 on the video game, James has 40 - 20 = $20 left.
## Step 4: Calculate how much money James spends on the new book.
James spends a quarter of what is left after buying the video game on a new book. A quarter of $20 is 20 / 4 = $5.
## Step 5: Calculate how much money James has left after buying the book.
After spending $5 on the book, James has 20 - 5 = $15 left.
The final answer is: $15</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</si>
  <si>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</si>
  <si>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</si>
  <si>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 Step 1: Calculate the total number of bikes, treadmills, and elliptical machines across all gyms.
There are 20 gyms. Each gym has 10 bikes, 5 treadmills, and 5 elliptical machines. So, the total number of bikes is 20 * 10 = 200, the total number of treadmills is 20 * 5 = 100, and the total number of elliptical machines is also 20 * 5 = 100.
## Step 2: Determine the cost of each type of machine.
The bikes cost $700 each. The treadmills cost 50% more than the bikes, which means they cost $700 + ($700 * 0.5) = $700 + $350 = $1050 each. The elliptical machines are twice as expensive as the treadmills, so they cost $1050 * 2 = $2100 each.
## Step 3: Calculate the total cost for each type of machine.
The total cost for bikes is 200 * $700 = $140,000. The total cost for treadmills is 100 * $1050 = $105,000. The total cost for elliptical machines is 100 * $2100 = $210,000.
## Step 4: Calculate the total cost to replace all machines.
The total cost is the sum of the costs for bikes, treadmills, and elliptical machines. So, the total cost = $140,000 + $105,000 + $210,000 = $455,000.
The final answer is: $####455000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</si>
  <si>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</si>
  <si>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</si>
  <si>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 Step 1: Calculate the total number of cupcakes Dani brings.
Dani brings two and a half dozen cupcakes. Since one dozen equals 12, two and a half dozen equals 2.5 * 12 = 30 cupcakes.
## Step 2: Determine the total number of people in the class.
There are 27 students, 1 teacher, and 1 teacher's aid, making a total of 27 + 1 + 1 = 29 people in the class.
## Step 3: Subtract the students who called in sick.
3 students called in sick, so the number of people present is 29 - 3 = 26.
## Step 4: Calculate the number of cupcakes left after giving one to everyone in the class.
After giving one cupcake to each of the 26 people present, the number of cupcakes left is 30 - 26 = 4.
The final answer is: ####4</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</si>
  <si>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</si>
  <si>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</si>
  <si>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 Step 1: Calculate the total number of bags
Jerry divided the candies into 9 bags.
## Step 2: Determine the number of bags that were not chocolate
2 bags had chocolate hearts and 3 bags had chocolate kisses, so the number of bags that were not chocolate is 9 - 2 - 3 = 4 bags.
## Step 3: Calculate the number of pieces of candy in each bag
Since Jerry divided the candies equally into 9 bags, each bag contains 63 / 9 = 7 pieces of candy.
## Step 4: Calculate the total number of pieces of candy that were not chocolate
The number of pieces of candy that were not chocolate is the number of non-chocolate bags multiplied by the number of pieces in each bag, which is 4 * 7 = 28.
The final answer is: ####28</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</si>
  <si>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</si>
  <si>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</si>
  <si>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 Step 1: Calculate the number of cookies with nuts only
First, we need to find out how many cookies will have nuts only. Since Sally wants 1/4 of her cookies to have nuts in them, we calculate 1/4 of 60 cookies. 1/4 * 60 = 15 cookies.
## Step 2: Calculate the number of cookies with chocolate chips only
Next, we calculate the number of cookies that will have chocolate chips only. Sally wants 40% of her cookies to have chocolate chips in them. 40% of 60 cookies is 0.4 * 60 = 24 cookies.
## Step 3: Calculate the number of cookies with both nuts and chocolate chips
The remainder of the cookies will have both nuts and chocolate chips. We've already accounted for 15 cookies with nuts and 24 cookies with chocolate chips, which totals 15 + 24 = 39 cookies. So, the number of cookies with both nuts and chocolate chips is 60 - 39 = 21 cookies.
## Step 4: Calculate the total number of cookies with nuts
To find the total number of cookies that will have nuts (including those with both nuts and chocolate chips), we add the cookies with nuts only and the cookies with both nuts and chocolate chips. 15 cookies (nuts only) + 21 cookies (both nuts and chocolate chips) = 36 cookies.
## Step 5: Calculate the total number of nuts needed
Since Maria uses 2 nuts per cookie for the cookies that have nuts, we multiply the total number of cookies with nuts by 2. 36 cookies * 2 nuts/cookie = 72 nuts.
The final answer is: ####72</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</si>
  <si>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</si>
  <si>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</si>
  <si>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 Step 1: Determine the number of candy bars sold on the first day.
Sol sells 10 candy bars on the first day.
## Step 2: Calculate the number of candy bars sold on each subsequent day.
On the second day, she sells 10 + 4 = 14 candy bars.
On the third day, she sells 14 + 4 = 18 candy bars.
On the fourth day, she sells 18 + 4 = 22 candy bars.
On the fifth day, she sells 22 + 4 = 26 candy bars.
On the sixth day, she sells 26 + 4 = 30 candy bars.
## Step 3: Calculate the total number of candy bars sold in a week.
Total candy bars sold = 10 + 14 + 18 + 22 + 26 + 30 = 120 candy bars.
## Step 4: Calculate the total amount earned in cents.
Each candy bar costs 10 cents, so the total amount earned in cents = 120 * 10 = 1200 cents.
## Step 5: Convert the total amount earned from cents to dollars.
Since 1 dollar = 100 cents, the total amount earned in dollars = 1200 / 100 = 12 dollars.
The final answer is: ####12</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</si>
  <si>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</si>
  <si>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</si>
  <si>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 13</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</si>
  <si>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</si>
  <si>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</si>
  <si>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 Step 1: Calculate the number of nickels Ray initially has.
Ray has 95 cents in nickels. Since each nickel is worth 5 cents, the number of nickels Ray initially has is 95 / 5 = 19.
## Step 2: Determine the amount of money Ray gives to Peter.
Ray gives 25 cents to Peter.
## Step 3: Calculate the amount of money Ray gives to Randi.
Ray gives twice as many cents to Randi as he gave to Peter, so he gives 2 * 25 = 50 cents to Randi.
## Step 4: Calculate the total amount of money Ray gives away.
The total amount of money Ray gives away is 25 + 50 = 75 cents.
## Step 5: Calculate the amount of money Ray has left.
Ray initially had 95 cents and gave away 75 cents, so he has 95 - 75 = 20 cents left.
## Step 6: Calculate the number of nickels Ray has left.
Since each nickel is worth 5 cents, the number of nickels Ray has left is 20 / 5 = 4.
The final answer is: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</si>
  <si>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</si>
  <si>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</si>
  <si>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 Step 1: Calculate the initial total number of animals
There are 6 monkeys and 6 birds initially, making a total of 6 + 6 = 12 animals.
## Step 2: Determine the number of animals after the monkeys eat the birds
Two monkeys eat one bird each, so the number of birds decreases by 2. The new number of birds is 6 - 2 = 4 birds. The number of monkeys remains the same, 6. Now, there are 6 monkeys and 4 birds, making a total of 6 + 4 = 10 animals.
## Step 3: Calculate the percentage of animals that are monkeys
To find the percentage of animals that are monkeys, divide the number of monkeys by the total number of animals and then multiply by 100. The calculation is (6 / 10) * 100.
## Step 4: Perform the percentage calculation
(6 / 10) * 100 = 60%.
The final answer is: ####60</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</si>
  <si>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</si>
  <si>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</si>
  <si>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 Step 1: Calculate the total amount spent by Heaven on sharpeners and notebooks.
Heaven buys 2 sharpeners and 4 notebooks at $5 each. So, the total number of items she buys is 2 + 4 = 6. The cost of each item is $5, so the total amount spent by Heaven is 6 * $5 = $30.
## Step 2: Calculate the remaining amount of money after Heaven's purchase.
The total amount given by their father is $100. After Heaven spends $30, the remaining amount is $100 - $30 = $70.
## Step 3: Calculate the amount spent by Heaven's brother on erasers.
Heaven's brother buys 10 erasers at $4 each. So, the total amount spent on erasers is 10 * $4 = $40.
## Step 4: Calculate the amount spent by Heaven's brother on highlighters.
The remaining amount after Heaven's purchase is $70, and Heaven's brother spends $40 on erasers. So, the amount spent on highlighters is $70 - $40 = $30.
The final answer is: ####30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</si>
  <si>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</si>
  <si>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</si>
  <si>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To calculate Julie's monthly salary, we first need to calculate her daily salary, then her weekly salary, and finally her monthly salary, taking into account the day she missed.
1. Daily salary: $5/hour * 8 hours = $40/day
2. Weekly salary: $40/day * 6 days = $240/week
3. Since there are approximately 4 weeks in a month, her monthly salary would be: $240/week * 4 weeks = $960/month
However, she missed one day of work, so we need to subtract her daily salary from her monthly salary to account for the missed day:
$960/month - $40/day = $920/month
#### 920</t>
  </si>
  <si>
    <t>James buys 3 packs of candy.  He pays with a $20 bill and gets $11 change.  How much did each pack of candy cost?</t>
  </si>
  <si>
    <t>The candy cost 20-11=$&lt;&lt;20-11=9&gt;&gt;9
So he pays 9/3=$&lt;&lt;9/3=3&gt;&gt;3 per candy
#### 3</t>
  </si>
  <si>
    <t>## Step 1: Calculate the total cost of the candy
To find out how much James paid for the candy, we need to subtract the change he received from the $20 bill he paid with. Total cost = $20 (bill) - $11 (change) = $9.
## Step 2: Determine the cost per pack of candy
Since James bought 3 packs of candy, to find out the cost of each pack, we divide the total cost by the number of packs. Cost per pack = Total cost / Number of packs = $9 / 3.
## Step 3: Calculate the cost per pack
Perform the division to find the cost per pack. $9 / 3 = $3.
The final answer is: $3</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</si>
  <si>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</si>
  <si>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</si>
  <si>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 Step 1: Calculate the amount of oil poured from the 4000-liter tank into the 20000-liter tanker.
Three-quarters of the oil from the 4000-liter tank is poured into the tanker. Three-quarters of 4000 liters is (3/4) * 4000 = 3000 liters.
## Step 2: Calculate the total amount of oil in the 20000-liter tanker after the transfer.
The tanker already had 3000 liters of oil. After adding 3000 liters from the 4000-liter tank, the total amount of oil in the tanker is 3000 + 3000 = 6000 liters.
## Step 3: Determine the amount of oil needed to make the large tanker half-full.
The 20000-liter tanker needs to be half-full, which means it needs 20000 / 2 = 10000 liters of oil.
## Step 4: Calculate how many more liters of oil are needed to make the tanker half-full.
Since the tanker currently has 6000 liters of oil, the amount of oil needed to make it half-full is 10000 - 6000 = 4000 liters.
The final answer is: ####4000</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</si>
  <si>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</si>
  <si>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</si>
  <si>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 Step 1: Calculate the total number of snails found by the first 3 ducklings.
The first 3 ducklings find 5 snails each, so the total number of snails found by them is 3 * 5 = 15.
## Step 2: Calculate the total number of snails found by the next 3 ducklings.
The next 3 ducklings find 9 snails each, so the total number of snails found by them is 3 * 9 = 27.
## Step 3: Calculate the total number of snails found by the first 6 ducklings.
The total number of snails found by the first 6 ducklings is 15 + 27 = 42.
## Step 4: Determine the number of snails found by the mother duck.
The mother duck finds three times the total number of snails as the first 2 groups of ducklings, which is 3 * 42 = 126.
## Step 5: Calculate the number of snails found by the remaining 2 ducklings.
The remaining 2 ducklings each find half the number of snails that the mother duck finds, so each finds 126 / 2 = 63 snails. Together, they find 2 * 63 = 126 snails.
## Step 6: Calculate the total number of snails found by the family of ducks.
The total number of snails found by the family of ducks is the sum of the snails found by the first 6 ducklings, the mother duck, and the remaining 2 ducklings, which is 42 + 126 + 126 = 294.
The final answer is: ####294</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</si>
  <si>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</si>
  <si>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</si>
  <si>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 Step 1: Calculate the time it takes to dry one short-haired dog and one full-haired dog.
It takes 10 minutes to dry a short-haired dog. Since it takes twice as long to dry a full-haired dog, it takes 10 * 2 = 20 minutes to dry a full-haired dog.
## Step 2: Calculate the total time it takes to dry all the short-haired dogs.
There are 6 short-haired dogs, and each takes 10 minutes to dry. So, the total time for short-haired dogs is 6 * 10 = 60 minutes.
## Step 3: Calculate the total time it takes to dry all the full-haired dogs.
There are 9 full-haired dogs, and each takes 20 minutes to dry. So, the total time for full-haired dogs is 9 * 20 = 180 minutes.
## Step 4: Add the time for short-haired and full-haired dogs to get the total time in minutes.
Total time = time for short-haired dogs + time for full-haired dogs = 60 + 180 = 240 minutes.
## Step 5: Convert the total time from minutes to hours.
Since there are 60 minutes in an hour, the total time in hours is 240 / 60 = 4 hours.
The final answer is: ####4</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</si>
  <si>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</si>
  <si>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</si>
  <si>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 Step 1: Determine the number of counters Reina has.
Reina has three times the number of counters as Kevin. Kevin has 40 counters. So, Reina has 3 * 40 = 120 counters.
## Step 2: Determine the number of marbles Reina has.
Reina has four times the number of marbles as Kevin. Kevin has 50 marbles. So, Reina has 4 * 50 = 200 marbles.
## Step 3: Calculate the total number of counters and marbles Reina has.
To find the total number of counters and marbles Reina has, we add the number of counters and marbles together. Total = 120 counters + 200 marbles = 320.
The final answer is: ####320</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</si>
  <si>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</si>
  <si>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</si>
  <si>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 Step 1: Calculate Teresa's score in physics.
Teresa scored half as many marks in physics as she did in music. Since she scored 80 in music, she scored 80 / 2 = 40 in physics.
## Step 2: Add up the scores from all subjects to find the total.
Total marks = science marks + music marks + social studies marks + physics marks
Total marks = 70 + 80 + 85 + 40
Total marks = 275
The final answer is: ####275</t>
  </si>
  <si>
    <t>There are 30 fish in the tank. One third of them are blue, and half of the blue fish have spots. How many fish in the tank are blue, spotted fish?</t>
  </si>
  <si>
    <t>There are 30/3=&lt;&lt;30/3=10&gt;&gt;10 blue fish.
There are 10/2=&lt;&lt;10/2=5&gt;&gt;5 blue spotted fish.
#### 5</t>
  </si>
  <si>
    <t>## Step 1: Calculate the total number of blue fish in the tank.
To find the number of blue fish, we divide the total number of fish by 3. total_fish = 30, blue_fish = total_fish / 3 = 30 / 3 = 10.
## Step 2: Calculate the number of blue fish that have spots.
Since half of the blue fish have spots, we divide the number of blue fish by 2. blue_spotted_fish = blue_fish / 2 = 10 / 2 = 5.
The final answer is: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</si>
  <si>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</si>
  <si>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</si>
  <si>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 250.00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</si>
  <si>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</si>
  <si>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</si>
  <si>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 Step 1: Calculate the total amount of oil in milliliters
The store owner was able to fill 20 bottles, each with a capacity of 200 mL. To find the total amount of oil in milliliters, we multiply the number of bottles by the capacity of each bottle: 20 * 200 = 4000 mL.
## Step 2: Convert the total amount of oil from milliliters to liters
Since 1 liter is equal to 1000 milliliters, we can convert the total amount of oil from milliliters to liters by dividing by 1000: 4000 mL / 1000 = 4 L.
The final answer is: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</si>
  <si>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</si>
  <si>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</si>
  <si>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 12960.00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</si>
  <si>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</si>
  <si>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</si>
  <si>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 Step 1: Determine the number of frogs in Pond B by dividing the number of frogs in Pond A by 2, since Pond A has twice as many frogs as Pond B.
To find the number of frogs in Pond B, we calculate 32 / 2 = 16.
## Step 2: Add the number of frogs in Pond A to the number of frogs in Pond B to find the total number of frogs in both ponds.
Total frogs = 32 (from Pond A) + 16 (from Pond B) = 48.
The final answer is: ####48</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</si>
  <si>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</si>
  <si>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</si>
  <si>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 Step 1: Determine the number of yellow candies.
The box contains 4 more yellow candies than purple candies. Since there are 10 purple candies, the number of yellow candies is 10 + 4 = 14.
## Step 2: Determine the number of green candies.
The box contains 2 fewer green candies than yellow candies. Since there are 14 yellow candies, the number of green candies is 14 - 2 = 12.
## Step 3: Calculate the total number of rainbow nerds in the box.
To find the total number of rainbow nerds, we need to add the number of purple, yellow, and green candies together. Total = 10 (purple) + 14 (yellow) + 12 (green) = 36.
The final answer is: $\boxed{36}$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</si>
  <si>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</si>
  <si>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</si>
  <si>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 Step 1: Calculate the time it takes to sew 6 skirts
To sew one skirt, it takes Alexis 2 hours. Therefore, to sew 6 skirts, it will take 6 * 2 = 12 hours.
## Step 2: Calculate the time it takes to sew 4 coats
To sew one coat, it takes Alexis 7 hours. Therefore, to sew 4 coats, it will take 4 * 7 = 28 hours.
## Step 3: Add the time it takes to sew the skirts and the coats to find the total time
The total time it takes to sew 6 skirts and 4 coats is the sum of the time it takes to sew the skirts and the time it takes to sew the coats. Total time = 12 hours + 28 hours = 40 hours.
The final answer is: $\boxed{40}$</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</si>
  <si>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</si>
  <si>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</si>
  <si>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 Step 1: Calculate the total amount Stormi earns from washing cars.
Stormi washes 3 cars for $10 each, so she earns 3 * $10 = $30 from washing cars.
## Step 2: Calculate the total amount Stormi earns from mowing lawns.
Stormi mows 2 lawns for $13 each, so she earns 2 * $13 = $26 from mowing lawns.
## Step 3: Calculate the total amount Stormi has earned.
The total amount Stormi has earned is $30 (from washing cars) + $26 (from mowing lawns) = $56.
## Step 4: Determine how much more money Stormi needs to afford the bicycle.
The bicycle costs $80, and Stormi has $56, so she needs $80 - $56 = $24 more to afford the bicycle.
The final answer is: $24</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</si>
  <si>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</si>
  <si>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</si>
  <si>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 8 (lowercase letters) + 4 (half of 8, for uppercase and numbers) + 2 (symbols) = 14
The final answer is: ####14</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</si>
  <si>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</si>
  <si>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</si>
  <si>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 Step 1: Calculate the time spent per trip
Each trip consists of filling the car (15 minutes) and driving to the new house (30 minutes). So, the total time spent per trip is 15 + 30 = 45 minutes.
## Step 2: Calculate the total time spent for all trips
Since they made 6 trips, the total time spent is 6 * 45 minutes = 270 minutes.
## Step 3: Convert the total time from minutes to hours
To convert minutes to hours, we divide by 60. So, 270 minutes / 60 = 4.5 hours.
The final answer is: ####4.5</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</si>
  <si>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</si>
  <si>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</si>
  <si>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 Step 1: Determine the amount of storage space used by the boxes on the second floor.
The boxes used up 5,000 square feet of storage space on the second floor.
## Step 2: Calculate the total storage space available on the second floor.
Since the boxes filled one-quarter of the second floor storage space, the total storage space on the second floor can be calculated by dividing the space used by the boxes by one-quarter (or 0.25). total_second_floor_space = 5,000 / 0.25 = 20,000 square feet.
## Step 3: Calculate the total storage space available on the first floor.
The first floor contains twice as much floor space for storage as the second floor. Therefore, the total storage space on the first floor is 2 * total_second_floor_space = 2 * 20,000 = 40,000 square feet.
## Step 4: Calculate the total storage space available in the building.
The total storage space in the building is the sum of the storage space on the first and second floors. total_building_space = total_second_floor_space + total_first_floor_space = 20,000 + 40,000 = 60,000 square feet.
## Step 5: Calculate the remaining storage space available in the building after the boxes were placed on the second floor.
The remaining storage space is the total building space minus the space used by the boxes. remaining_space = total_building_space - 5,000 = 60,000 - 5,000 = 55,000 square feet.
The final answer is: ####55000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</si>
  <si>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</si>
  <si>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</si>
  <si>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 680</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</si>
  <si>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</si>
  <si>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</si>
  <si>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 Step 1: Calculate the length of each part of the ribbon
To find the length of each part, we divide the total length of the ribbon by the number of parts it was cut into. length_per_part = total_length / number_of_parts = 30 / 6 = 5 meters.
## Step 2: Calculate the total length of the ribbon used
Isaac used 4 parts of the ribbon. So, the total length used is the length of one part multiplied by the number of parts used. total_length_used = length_per_part * parts_used = 5 * 4 = 20 meters.
## Step 3: Calculate the length of the ribbon not used
The length of the ribbon not used is the total length of the ribbon minus the length used. length_not_used = total_length - total_length_used = 30 - 20 = 10 meters.
The final answer is: ####10</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</si>
  <si>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</si>
  <si>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</si>
  <si>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 Step 1: Calculate the amount Jerry paid two months ago.
Jerry paid $12 two months ago.
## Step 2: Calculate the amount Jerry paid last month.
Jerry paid $3 more than the previous month, so he paid $12 + $3 = $15 last month.
## Step 3: Calculate the total amount Jerry has paid so far.
The total amount Jerry paid is $12 + $15 = $27.
## Step 4: Calculate the amount Jerry still has to pay.
Jerry's total debt was $50, so he still has to pay $50 - $27 = $23.
The final answer is: ####23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</si>
  <si>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</si>
  <si>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</si>
  <si>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 Step 1: Calculate the amount of added sugar in the soft drink
First, we need to find out how many calories of added sugar were in the soft drink. Since 5% of the 2500 calories were from added sugar, we calculate 5% of 2500. This is done by multiplying 2500 by 0.05. So, 2500 * 0.05 = 125 calories of added sugar.
## Step 2: Determine the total recommended intake of added sugar
The recommended intake is 150 calories of added sugar per day.
## Step 3: Calculate the amount of added sugar Mark actually consumed
Since Mark exceeded the recommended intake by 100%, he consumed twice the recommended amount. Therefore, he consumed 2 * 150 = 300 calories of added sugar.
## Step 4: Calculate how much added sugar Mark got from the candy
We know Mark got 125 calories of added sugar from the soft drink. To find out how much he got from the candy, we subtract the amount from the soft drink from his total intake. So, 300 - 125 = 175 calories of added sugar from the candy.
## Step 5: Determine the number of bars of candy Mark consumed
Each bar of candy had 25 calories of added sugar. To find out how many bars Mark consumed, we divide the total calories of added sugar from the candy by the calories per bar. So, 175 / 25 = 7.
The final answer is: ####7</t>
  </si>
  <si>
    <t>John's grill messes up and burns half his steak.  He eats 80% of what isn't burned.  If the steak was originally 30 ounces how much steak did he eat?</t>
  </si>
  <si>
    <t>There were 30*.5=&lt;&lt;30*.5=15&gt;&gt;15 ounces of unburnt steak
So he ate 15*.8=&lt;&lt;15*.8=12&gt;&gt;12 ounces of steak
#### 12</t>
  </si>
  <si>
    <t>## 12</t>
  </si>
  <si>
    <t>Fifteen more than a quarter of a number is 27. What is the number?</t>
  </si>
  <si>
    <t>A quarter of the number is 27-15=&lt;&lt;27-15=12&gt;&gt;12.
The number is 12*4=&lt;&lt;12*4=48&gt;&gt;48.
#### 48</t>
  </si>
  <si>
    <t>## Step 1: Define the unknown number as a variable.
Let's denote the unknown number as "x".
## Step 2: Translate the given problem into an equation.
The problem states that "Fifteen more than a quarter of a number is 27". This can be translated into the equation: (1/4)x + 15 = 27.
## Step 3: Solve the equation for x.
First, subtract 15 from both sides of the equation to isolate the term involving x. This gives: (1/4)x = 27 - 15.
## Step 4: Perform the subtraction on the right side of the equation.
27 - 15 = 12, so the equation now is: (1/4)x = 12.
## Step 5: Multiply both sides of the equation by 4 to solve for x.
To isolate x, multiply both sides by 4: x = 12 * 4.
## Step 6: Perform the multiplication.
12 * 4 = 48.
The final answer is: ####48</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</si>
  <si>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</si>
  <si>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</si>
  <si>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 Step 1: Calculate the total distance the man needs to cover to achieve an average speed of 70 mph over 5 hours.
To find the total distance, we multiply the desired average speed by the total time. Total distance = average speed * total time = 70 mph * 5 hours = 350 miles.
## Step 2: Calculate the distance the man covers in the first 3 hours.
Distance covered in the first 3 hours = speed * time = 60 mph * 3 hours = 180 miles.
## Step 3: Determine the remaining distance the man needs to cover in the next 2 hours to reach the total distance calculated in step 1.
Remaining distance = Total distance - Distance covered in the first 3 hours = 350 miles - 180 miles = 170 miles.
## Step 4: Calculate the speed the man needs to drive to cover the remaining distance in 2 hours.
Required speed = Remaining distance / Remaining time = 170 miles / 2 hours = 85 mph.
The final answer is: ####85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</si>
  <si>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</si>
  <si>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</si>
  <si>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 Step 1: Calculate the total cost of the socks
The cost of two pairs of socks is 2 * $9.50 = $19.
## Step 2: Calculate the total cost of the shoes and socks
The total cost of the shoes and socks is $19 (socks) + $92 (shoes) = $111.
## Step 3: Calculate how much more money Jack needs
To find out how much more money Jack needs, we subtract the amount he has from the total cost: $111 (total cost) - $40 (amount Jack has) = $71.
The final answer is: ####71</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</si>
  <si>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</si>
  <si>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</si>
  <si>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 19
Jen played the shooting game twice, so she used 5 * 2 = 10 tickets. Russel rode the carousel three times, so he used 3 * 3 = 9 tickets. In total, they used 10 + 9 = 19 tickets. The final answer is: ####19</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</si>
  <si>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</si>
  <si>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</si>
  <si>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 Step 1: Calculate the total amount Sara spent on shoes and dress.
Sara spent $50 on shoes and $200 on a dress. So, the total amount Sara spent is $50 + $200 = $250.
## Step 2: Determine how much Rachel should budget to spend twice as much as Sara.
To spend twice as much as Sara, Rachel needs to budget 2 * $250 = $500.
The final answer is: ####500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</si>
  <si>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</si>
  <si>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</si>
  <si>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 Step 1: Calculate the initial decrease in value after six months.
The lawnmower was initially worth $100. After six months, its value dropped by 25%. To find the value after this decrease, we calculate 25% of $100 and subtract it from $100. 25% of $100 is 0.25 * $100 = $25. So, the value after six months is $100 - $25 = $75.
## Step 2: Calculate the further decrease in value over the next year.
Over the next year, the value of the mower dropped another 20%. To find the value after this further decrease, we calculate 20% of $75 and subtract it from $75. 20% of $75 is 0.20 * $75 = $15. So, the value after this decrease is $75 - $15 = $60.
The final answer is: ####60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</si>
  <si>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</si>
  <si>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</si>
  <si>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 Step 1: Calculate the total capacity of one truck
Each truck has 3 tanks, and each tank has a capacity of 150 liters. So, the total capacity of one truck is 3 tanks * 150 liters/tank = 450 liters.
## Step 2: Calculate the total capacity of all trucks
The farmer has 3 trucks, and each truck has a capacity of 450 liters. So, the total capacity of all trucks is 3 trucks * 450 liters/truck = 1350 liters.
The final answer is: ####1350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</si>
  <si>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</si>
  <si>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</si>
  <si>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 Step 1: Calculate the number of gift boxes Edmund can wrap per day
To find out how many gift boxes Edmund can wrap per day, we need to divide the total inches of gift wrapper he has per day by the inches used per gift box. gift_boxes_per_day = 90 / 18 = 5.
## Step 2: Calculate the number of gift boxes Edmund can wrap every 3 days
Now, we need to find out how many gift boxes Edmund can wrap every 3 days. To do this, we multiply the number of gift boxes he can wrap per day by 3. total_gift_boxes = gift_boxes_per_day * 3 = 5 * 3 = 15.
The final answer is: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</si>
  <si>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</si>
  <si>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</si>
  <si>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 Step 1: Determine the original price of the two pairs of shoes before any discounts.
The first pair of shoes costs $40 and the second pair costs $60.
## Step 2: Apply the half-off discount to the cheaper pair of shoes.
Since the offer applies strictly to the cheaper pair, the discount is applied to the $40 pair. The discount amount is $40 * 0.5 = $20. So, the price of the cheaper pair after the discount is $40 - $20 = $20.
## Step 3: Calculate the total cost of both pairs of shoes after the initial discount.
The total cost is the sum of the discounted price of the cheaper pair and the full price of the more expensive pair: $20 (discounted price of the cheaper pair) + $60 (price of the more expensive pair) = $80.
## Step 4: Apply the extra discount of a fourth off the total amount.
A fourth off means a discount of 1/4 or 0.25. The discount amount is $80 * 0.25 = $20. So, the final amount James has to pay is $80 - $20 = $60.
The final answer is: ####60</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</si>
  <si>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</si>
  <si>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</si>
  <si>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 Step 1: Calculate the number of minutes Lily needs to type 255 words without breaks.
To find this, we divide the total number of words by the words typed per minute. So, 255 words / 15 words per minute = 17 minutes.
## Step 2: Determine how many breaks Lily will take during this time.
Lily takes a break every 10 minutes. Since she needs 17 minutes of typing time, she will take one break after the first 10 minutes and then continue typing. She won't take another break because she will finish typing before reaching the next 10-minute mark.
## Step 3: Calculate the total time including the break.
The total time is the typing time plus the break time. The typing time is 17 minutes, and the break time is 2 minutes. So, the total time = 17 minutes + 2 minutes = 19 minutes.
The final answer is: ####19</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</si>
  <si>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</si>
  <si>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</si>
  <si>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 Step 1: Determine the number of trouts Caleb caught.
Caleb caught 2 trouts.
## Step 2: Calculate the number of trouts Caleb's dad caught.
Caleb's dad caught three times as many trouts as Caleb, so 3 * 2 = 6 trouts.
## Step 3: Find the difference in the number of trouts caught by Caleb's dad and Caleb.
The difference in the number of trouts caught is 6 - 2 = 4.
The final answer is: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</si>
  <si>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</si>
  <si>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</si>
  <si>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 Step 1: Calculate the annual interest
The annual interest can be calculated by multiplying the principal amount ($2000) by the interest rate (8% or 0.08). So, the annual interest is $2000 * 0.08 = $160.
## Step 2: Calculate the total interest for 2 and a half years
Since the interest is paid throughout the year and withdrawn as soon as it is deposited, we can calculate the interest for 2 full years and then add half a year's interest. For 2 full years, the interest would be $160 * 2 = $320. For half a year, the interest would be $160 / 2 = $80. So, the total interest for 2 and a half years is $320 + $80 = $400.
## Step 3: Calculate the total amount including deposit and interest
The total amount Adam's father will have after 2 and a half years is the initial deposit ($2000) plus the total interest received ($400). So, the total amount is $2000 + $400 = $2400.
The final answer is: ####2400</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</si>
  <si>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</si>
  <si>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</si>
  <si>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 Step 1: Calculate the sum of all the test scores
To find the average, we first need to add up all the scores. June's score was 97, Patty's was 85, Josh's was 100, and Henry's was 94. So, the sum of their scores is 97 + 85 + 100 + 94.
## Step 2: Perform the addition to get the total score
97 + 85 + 100 + 94 = 376.
## Step 3: Calculate the average score
To find the average, we divide the total score by the number of children. There are 4 children, so we divide 376 by 4.
## Step 4: Perform the division to get the average score
376 / 4 = 94.
The final answer is: ####94</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</si>
  <si>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</si>
  <si>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</si>
  <si>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 Step 1: Calculate the number of watermelons Gabby got.
Gabby got 1 watermelon to grow.
## Step 2: Calculate the number of peaches Gabby got.
She got twelve more peaches than watermelons, so she got 1 + 12 = 13 peaches.
## Step 3: Calculate the number of plums Gabby got.
She got three times the number of peaches in plums, so she got 3 * 13 = 39 plums.
## Step 4: Calculate the total number of pieces of fruit Gabby got to pick that summer.
The total number of pieces of fruit is the sum of watermelons, peaches, and plums: 1 + 13 + 39 = 53.
The final answer is: ####53</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</si>
  <si>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</si>
  <si>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</si>
  <si>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 Step 1: Calculate the total cost of the meal after applying the coupon.
First, subtract the coupon value from the total price of the meal. total_cost = $67, coupon_value = $4. So, the cost after applying the coupon = total_cost - coupon_value = $67 - $4 = $63.
## Step 2: Determine the number of people splitting the bill.
There are 3 people: Sarah, Mary, and Tuan.
## Step 3: Calculate the amount each person needs to contribute.
To find out how much each person needs to pay, divide the total cost after the coupon by the number of people. cost_per_person = cost_after_coupon / number_of_people = $63 / 3 = $21.
The final answer is: $21</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</si>
  <si>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</si>
  <si>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</si>
  <si>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 Step 1: Calculate the total miles driven on the second day
To find the total miles driven on the second day, we need to add 124 miles to the miles driven on the first day. miles_second_day = 135 + 124 = 259 miles.
## Step 2: Calculate the total miles driven for the whole trip
Now, we add up the miles driven each day to find the total miles driven for the whole trip. total_miles = 135 + 259 + 159 + 189 = 742 miles.
## Step 3: Determine how many times Carrie had to charge her phone
To find out how many times Carrie had to charge her phone, we divide the total miles driven by the miles she could drive before needing to charge her phone. charge_times = total_miles / 106.
## Step 4: Calculate the number of times Carrie charged her phone
Perform the division to find the exact number of times Carrie charged her phone. charge_times = 742 / 106 = 7.
The final answer is: ####7</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</si>
  <si>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</si>
  <si>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</si>
  <si>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 Step 1: Calculate the cost of the blue pens
Maci needs 10 blue pens, and each blue pen costs 10 cents. So, the total cost of the blue pens is 10 * 10 = 100 cents.
## Step 2: Calculate the cost of the red pens
Maci needs 15 red pens, and each red pen costs twice as much as a blue pen, which is 2 * 10 = 20 cents. So, the total cost of the red pens is 15 * 20 = 300 cents.
## Step 3: Calculate the total cost of all pens
To find the total cost, we add the cost of the blue pens and the cost of the red pens. Total cost = 100 cents + 300 cents = 400 cents.
## Step 4: Convert the total cost to dollars
Since there are 100 cents in a dollar, we divide the total cost in cents by 100 to get the cost in dollars. Total cost in dollars = 400 / 100 = 4 dollars.
The final answer is: ####4</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</si>
  <si>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</si>
  <si>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</si>
  <si>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 Step 1: Calculate the initial worth of the cow
The cow initially weighs 400 pounds and can be sold for $3 per pound. So, the initial worth of the cow is 400 * 3 = $1200.
## Step 2: Calculate the weight of the cow after gaining weight
The cow's weight increases to 1.5 times its starting weight. So, the new weight is 400 * 1.5 = 600 pounds.
## Step 3: Calculate the worth of the cow after gaining weight
After gaining weight, the cow weighs 600 pounds and can still be sold for $3 per pound. So, the new worth of the cow is 600 * 3 = $1800.
## Step 4: Calculate the increase in worth
The increase in worth is the difference between the new worth and the initial worth. So, the increase in worth is 1800 - 1200 = $600.
The final answer is: ####600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</si>
  <si>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</si>
  <si>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</si>
  <si>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 Step 1: Calculate Gab's score
Gab scored twice as many points as Sammy, so Gab's score is 2 * 20 = 40 points.
## Step 2: Calculate Cher's score
Cher scored twice as many points as Gab, so Cher's score is 2 * 40 = 80 points.
## Step 3: Calculate the total score of Sammy, Gab, and Cher
The total score of Sammy, Gab, and Cher is 20 + 40 + 80 = 140 points.
## Step 4: Calculate the difference between their score and their opponent's score
The difference between their score and their opponent's score is 140 - 85 = 55 points.
The final answer is: ####55</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</si>
  <si>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</si>
  <si>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</si>
  <si>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 Step 1: Determine the number of books Mara received.
Since Rebecca received 40 books and Mara received three times as many books as Rebecca, Mara received 3 * 40 = 120 books.
## Step 2: Calculate the total number of books given away.
The total number of books given away is the sum of the books received by Mara and Rebecca, which is 120 + 40 = 160 books.
## Step 3: Calculate the initial number of books Roselyn had.
Roselyn remained with 60 books after giving away 160 books. So, the initial number of books Roselyn had is 60 + 160 = 220 books.
The final answer is: ####220</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</si>
  <si>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</si>
  <si>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</si>
  <si>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 Step 1: Calculate the selling price with profit
First, we need to calculate the selling price of the shirt, which includes the store's profit. The store buys the shirt for $20 and charges a 30% profit. So, the profit amount is 30% of $20, which is 0.3 * $20 = $6.
## Step 2: Calculate the total selling price
The total selling price is the cost price plus the profit, which is $20 + $6 = $26.
## Step 3: Calculate the sale price after discount
The shirt is on sale for 50% off the selling price. So, the discount amount is 50% of $26, which is 0.5 * $26 = $13.
## Step 4: Calculate the final price after discount
The final price after the discount is the selling price minus the discount amount, which is $26 - $13 = $13.
The final answer is: $13</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</si>
  <si>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</si>
  <si>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</si>
  <si>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</si>
  <si>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</si>
  <si>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To find the original bet, we need to use the payout ratio of 3:2. 
Let's say the original bet is x. 
The payout ratio of 3:2 means that for every 2 dollars bet, you win 3 dollars. 
So, the payout is (3/2)x. 
We are given that the payout is $60, so we can set up the equation:
(3/2)x = 60
To solve for x, we can multiply both sides by 2/3:
x = 60 * (2/3)
x = 40
So, the original bet is $40.
#### 40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</si>
  <si>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</si>
  <si>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</si>
  <si>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 Step 1: Calculate the total number of pieces of gum Mitchell has.
Mitchell has 8 packets of gum, and each packet contains 7 pieces of gum. So, the total number of pieces of gum is 8 * 7 = 56.
## Step 2: Subtract the number of pieces Mitchell does not chew from the total.
Mitchell chews all the gum except for 2 pieces. So, the number of pieces he chews is 56 - 2 = 54.
The final answer is: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</si>
  <si>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</si>
  <si>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</si>
  <si>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 Step 1: Calculate the length of the rope Orlan gave to Allan.
Orlan gave one-fourth of his 20-meter rope to Allan. So, one-fourth of 20 meters is 20 * (1/4) = 5 meters.
## Step 2: Calculate the length of the rope remaining after giving some to Allan.
After giving 5 meters to Allan, Orlan has 20 - 5 = 15 meters left.
## Step 3: Calculate the length of the rope Orlan gave to Jack.
Orlan then gave two-thirds of the remaining 15 meters to Jack. Two-thirds of 15 meters is 15 * (2/3) = 10 meters.
## Step 4: Calculate the length of the rope left to Orlan after giving some to Jack.
After giving 10 meters to Jack, Orlan has 15 - 10 = 5 meters left.
The final answer is: ####5</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</si>
  <si>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</si>
  <si>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</si>
  <si>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 Step 1: Calculate the total weight of the soda crates
Donna is carrying 20 crates of soda, each weighing 50 pounds. So, the total weight of the soda crates is 20 * 50 = 1000 pounds.
## Step 2: Calculate the total weight of the dryers
Donna is carrying 3 dryers, each weighing 3000 pounds. So, the total weight of the dryers is 3 * 3000 = 9000 pounds.
## Step 3: Calculate the total weight of the fresh produce
The weight of the fresh produce is twice as much as the weight of the soda. Since the soda weighs 1000 pounds, the fresh produce weighs 2 * 1000 = 2000 pounds.
## Step 4: Calculate the total weight of the cargo
The total weight of the cargo is the sum of the weights of the soda, dryers, and fresh produce. So, the total weight of the cargo is 1000 + 9000 + 2000 = 12000 pounds.
## Step 5: Calculate the total weight of the fully loaded truck
The total weight of the fully loaded truck is the sum of the weight of the empty truck and the weight of the cargo. So, the total weight of the fully loaded truck is 12000 + 12000 = 24000 pounds.
The final answer is: ####24000</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</si>
  <si>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</si>
  <si>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</si>
  <si>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 Step 1: Calculate Mary's initial weight loss
Mary initially lost a dozen pounds, which is 12 pounds.
## Step 2: Calculate Mary's weight after the initial loss
Mary's initial weight was 99 pounds, so after losing 12 pounds, her weight became 99 - 12 = 87 pounds.
## Step 3: Calculate the weight Mary gained back
Mary gained back twice the weight she initially lost, which is 2 * 12 = 24 pounds.
## Step 4: Calculate Mary's weight after gaining back
After gaining back 24 pounds, Mary's weight became 87 + 24 = 111 pounds.
## Step 5: Calculate the weight Mary lost the second time
Mary lost three times more weight than she initially had lost, which is 3 * 12 = 36 pounds.
## Step 6: Calculate Mary's weight after the second loss
After losing 36 pounds, Mary's weight became 111 - 36 = 75 pounds.
## Step 7: Calculate the weight Mary gained back the second time
Mary gained back half of a dozen pounds, which is 6 pounds.
## Step 8: Calculate Mary's final weight
After gaining back 6 pounds, Mary's final weight became 75 + 6 = 81 pounds.
The final answer is: ####81</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</si>
  <si>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</si>
  <si>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</si>
  <si>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 Step 1: Calculate the total amount spent on lettuce
The total amount spent on lettuce is $8 (for green lettuce) + $6 (for red lettuce) = $14.
## Step 2: Determine the cost per pound of lettuce
Each type of lettuce costs $2 per pound.
## Step 3: Calculate the total pounds of lettuce bought
To find the total pounds of lettuce bought, we divide the total amount spent on lettuce by the cost per pound. total_pounds = total_amount_spent / cost_per_pound = $14 / $2 = 7 pounds.
The final answer is: ####7</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</si>
  <si>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</si>
  <si>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</si>
  <si>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 400.00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</si>
  <si>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</si>
  <si>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</si>
  <si>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 Step 1: Define the variables for the problem
Let's denote the number of quarters as Q, the number of dimes as D, and the number of nickels as N.
## Step 2: Translate the given information into equations
We are given that John has three more dimes than quarters, which can be written as D = Q + 3. We also know he has 6 fewer nickels than quarters, so N = Q - 6. Lastly, the total number of coins is 63, which gives us the equation Q + D + N = 63.
## Step 3: Substitute the expressions for D and N into the total coins equation
Substituting D = Q + 3 and N = Q - 6 into the equation Q + D + N = 63, we get Q + (Q + 3) + (Q - 6) = 63.
## Step 4: Solve the equation for Q
Combining like terms, we have Q + Q + 3 + Q - 6 = 63, which simplifies to 3Q - 3 = 63. Adding 3 to both sides gives 3Q = 66. Dividing both sides by 3 gives Q = 22.
The final answer is: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</si>
  <si>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</si>
  <si>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</si>
  <si>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 Step 1: Calculate the total number of red bouncy balls Jill bought.
Jill bought 5 packs of red bouncy balls, and each pack contains 18 bouncy balls. So, the total number of red bouncy balls is 5 * 18 = 90.
## Step 2: Calculate the total number of yellow bouncy balls Jill bought.
Jill bought 4 packs of yellow bouncy balls, and each pack also contains 18 bouncy balls. So, the total number of yellow bouncy balls is 4 * 18 = 72.
## Step 3: Find the difference between the number of red and yellow bouncy balls to determine how many more red bouncy balls Jill bought.
To find out how many more red bouncy balls Jill bought than yellow bouncy balls, we subtract the number of yellow bouncy balls from the number of red bouncy balls: 90 - 72 = 18.
The final answer is: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</si>
  <si>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</si>
  <si>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</si>
  <si>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 Step 1: Calculate the total amount Janet spent on muffins.
To find out how many muffins Janet bought, we first need to determine the total amount she spent. Since she paid $20 and got $11 back, the amount spent is $20 - $11 = $9.
## Step 2: Convert the amount spent into cents for easier calculation with the muffin price.
Since each muffin is priced in cents, we convert $9 into cents. $9 equals 900 cents.
## Step 3: Calculate the number of muffins Janet bought.
Now, we divide the total amount spent in cents by the price of one muffin to find out how many muffins Janet bought. Number of muffins = Total amount spent in cents / Price per muffin = 900 / 75.
## Step 4: Perform the division to get the exact number of muffins.
900 / 75 = 12.
The final answer is: ####12</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</si>
  <si>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</si>
  <si>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</si>
  <si>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 Step 1: Calculate the total number of croissants Jorge and Giuliana each eat for breakfast.
Jorge and Giuliana each eat 7 croissants for breakfast, so together they eat 7 + 7 = 14 croissants.
## Step 2: Calculate the total number of cakes they eat after school.
They each eat 18 cakes after school, so together they eat 18 + 18 = 36 cakes.
## Step 3: Calculate the total number of pizzas they eat before bedtime.
They each eat 30 pizzas before bedtime, so together they eat 30 + 30 = 60 pizzas.
## Step 4: Add up the total number of croissants, cakes, and pizzas they consume in a day.
The total number of items consumed is 14 (croissants) + 36 (cakes) + 60 (pizzas) = 110.
The final answer is: ####110</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</si>
  <si>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</si>
  <si>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</si>
  <si>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 81 
To find the answer, first calculate the total pounds of flour Matt has: 4 bags * 5 pounds per bag = 20 pounds. Then, calculate how many batches of cookies Matt can make: 20 pounds / 2 pounds per batch = 10 batches. Since each batch makes a dozen (12) cookies, the total number of cookies is 10 batches * 12 cookies per batch = 120 cookies. After Jim eats 15 cookies, there are 120 - 15 = 105 cookies left.</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</si>
  <si>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</si>
  <si>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</si>
  <si>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 Step 1: Calculate the initial total number of animals in the barn.
The initial total number of animals is the sum of horses, sheep, and chickens. total_animals_initial = 100 + 29 + 9 = 138.
## Step 2: Determine the number of animals after Brian bought half of them.
Since Brian bought half of the animals, the number of animals left after his purchase is half of the initial total. animals_left = total_animals_initial / 2 = 138 / 2 = 69.
## Step 3: Calculate the total number of animals after Jeremy gifted Fred the goats.
Jeremy added 37 goats to the barn. total_animals_after_gift = animals_left + 37 = 69 + 37 = 106.
## Step 4: Calculate the number of male animals in the barn, given that half of the animals are male.
Since exactly half of the animals in the barn are male, the number of male animals is half of the total number of animals after Jeremy's gift. male_animals = total_animals_after_gift / 2 = 106 / 2 = 53.
The final answer is: ####53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</si>
  <si>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</si>
  <si>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</si>
  <si>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 Step 1: Calculate the cost of the first two parking tickets.
The first two parking tickets cost $150 each, so the total cost for these is 2 * $150 = $300.
## Step 2: Calculate the cost of the third parking ticket.
The third ticket costs 1/3 as much as one of the first two tickets, which is 1/3 * $150 = $50.
## Step 3: Calculate the total cost of all parking tickets.
The total cost is the sum of the costs of all three tickets, which is $300 + $50 = $350.
## Step 4: Calculate James' share of the cost after his roommate agrees to pay half.
Since his roommate pays half, James only pays half of the total cost, which is 1/2 * $350 = $175.
## Step 5: Calculate how much money James has left after paying his share of the parking tickets.
James had $500 initially and pays $175 for the tickets, so he has $500 - $175 = $325 left.
The final answer is: $325</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</si>
  <si>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</si>
  <si>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</si>
  <si>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 Step 1: Calculate the total miles walked together by the ladies in 6 days.
The ladies walk 3 miles together per day. Since they walk 6 days a week, the total miles walked together in 6 days is 3 * 6 = 18 miles.
## Step 2: Calculate the total miles walked by Jamie in addition to the group walks in 6 days.
Jamie walks an additional 2 miles per day for 6 days. So, the total additional miles walked by Jamie is 2 * 6 = 12 miles.
## Step 3: Calculate the total miles walked by Sue in addition to the group walks in 6 days.
Sue walks half the amount that Jamie walks, which is 2 / 2 = 1 mile per day. So, the total additional miles walked by Sue in 6 days is 1 * 6 = 6 miles.
## Step 4: Calculate the total miles walked by all the ladies together, including the additional miles walked by Jamie and Sue.
Since there are 5 ladies in total, including Jamie and Sue, and they all walk 3 miles together per day for 6 days, the total miles walked together is 18 miles (as calculated in step 1). The additional miles walked by Jamie and Sue are 12 miles and 6 miles respectively. However, we need to consider that the question asks for the total miles walked by all the ladies, which includes the 3 miles they walk together each day. The additional miles walked by Jamie and Sue are in addition to these 3 miles. So, the total miles walked by all the ladies is the miles they walked together (18 miles) plus the additional miles walked by Jamie (12 miles) and Sue (6 miles). But we also need to account for the fact that the other 3 ladies do not walk any additional miles. Therefore, the total miles walked is 18 (miles walked together) + 12 (Jamie's extra miles) + 6 (Sue's extra miles).
## Step 5: Calculate the final total miles walked by all the ladies.
Total miles = 18 (miles walked together) + 12 (Jamie's extra miles) + 6 (Sue's extra miles) = 36 miles.
The final answer is: ####36</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</si>
  <si>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</si>
  <si>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</si>
  <si>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 Step 1: Calculate the number of books Katie has.
Katie has half as many books as Darla. Since Darla has 6 books, Katie has 6 / 2 = 3 books.
## Step 2: Calculate the total number of books Darla and Katie have combined.
Darla has 6 books and Katie has 3 books, so together they have 6 + 3 = 9 books.
## Step 3: Calculate the number of books Gary has.
Gary has 5 times the number of books that Darla and Katie have combined. Since Darla and Katie have 9 books combined, Gary has 5 * 9 = 45 books.
## Step 4: Calculate the total number of books the three have.
To find the total number of books, we add the books Darla, Katie, and Gary have: 6 (Darla) + 3 (Katie) + 45 (Gary) = 54 books.
The final answer is: ####54</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</si>
  <si>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</si>
  <si>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</si>
  <si>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 92</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</si>
  <si>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</si>
  <si>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</si>
  <si>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 Step 1: Determine the time it would take Mr. Harris to walk to your destination.
Since your destination is 3 times further away than the store Mr. Harris walked to, it would take Mr. Harris 3 times as long to walk to your destination. Therefore, it would take Mr. Harris 3 * 2 = 6 hours to walk to your destination.
## Step 2: Calculate the time it would take you to walk to your destination.
You walk twice as fast as Mr. Harris, so it would take you half the time it would take Mr. Harris to walk to your destination. Therefore, it would take you 6 / 2 = 3 hours to walk to your destination.
The final answer is: ####3</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</si>
  <si>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</si>
  <si>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</si>
  <si>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 Step 1: Calculate the number of apples packed per day in the first week
In the first week, they packed 40 apples in a box and produced 50 full boxes per day. So, the number of apples packed per day is 40 * 50 = 2000.
## Step 2: Calculate the total number of apples packed in the first week
Since there are 7 days in a week, the total number of apples packed in the first week is 2000 * 7 = 14000.
## Step 3: Calculate the number of apples packed per day in the second week
In the second week, they packed 500 fewer apples per day. So, the number of apples packed per day is 2000 - 500 = 1500.
## Step 4: Calculate the total number of apples packed in the second week
The total number of apples packed in the second week is 1500 * 7 = 10500.
## Step 5: Calculate the total number of apples packed in the two weeks
The total number of apples packed in the two weeks is 14000 + 10500 = 24500.
The final answer is: ####24500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</si>
  <si>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</si>
  <si>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</si>
  <si>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 Step 1: Calculate the total number of winning numbers across all tickets
Tony bought 3 lottery tickets, and each ticket has 5 winning numbers. So, the total number of winning numbers is 3 tickets * 5 winning numbers per ticket = 15 winning numbers.
## Step 2: Calculate the total amount of money won
Each winning number is worth $20. To find the total amount of money won, multiply the total number of winning numbers by the value of each winning number: 15 winning numbers * $20 per winning number = $300.
The final answer is: $####300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</si>
  <si>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</si>
  <si>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</si>
  <si>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 Step 1: Calculate the total number of pens Kendra has.
Kendra has 4 packs of pens, and each pack contains 3 pens. So, Kendra has 4 * 3 = 12 pens.
## Step 2: Calculate the total number of pens Tony has.
Tony has 2 packs of pens, and each pack contains 3 pens. So, Tony has 2 * 3 = 6 pens.
## Step 3: Calculate the total number of pens Kendra and Tony have together.
The total number of pens they have together is 12 (Kendra's pens) + 6 (Tony's pens) = 18 pens.
## Step 4: Determine the number of pens Kendra and Tony will keep.
Kendra and Tony each decide to keep 2 pens. So, together they will keep 2 + 2 = 4 pens.
## Step 5: Calculate the number of pens they will give to their friends.
The number of pens they will give away is the total number of pens they have minus the number of pens they are keeping. So, 18 (total pens) - 4 (pens kept) = 14 pens.
## Step 6: Calculate the number of friends they will give pens to.
Since they are giving one pen per friend, the number of friends they will give pens to is equal to the number of pens they are giving away, which is 14.
The final answer is: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</si>
  <si>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</si>
  <si>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</si>
  <si>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 Step 1: Calculate the amount of water needed to fill up 10 whole bottles.
10 whole bottles will need 10 * 2 = 20 cups of water.
## Step 2: Calculate the amount of water needed to fill up 5 half-capacity bottles.
Since each bottle can hold 2 cups of water, a half-capacity bottle will need 2 * 0.5 = 1 cup of water. Therefore, 5 half-capacity bottles will need 5 * 1 = 5 cups of water.
## Step 3: Add the amounts of water needed for the whole and half-capacity bottles to get the total amount of water needed.
Total amount of water needed = 20 cups (for whole bottles) + 5 cups (for half-capacity bottles) = 25 cups.
The final answer is: ####25</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</si>
  <si>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</si>
  <si>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</si>
  <si>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 Step 1: Determine the number of notebooks.
There are 30 notebooks on the shelf.
## Step 2: Calculate the number of pens.
Since there are 50 more pens than notebooks, we add 50 to the number of notebooks to find the number of pens. pens = notebooks + 50 = 30 + 50 = 80.
## Step 3: Find the total number of notebooks and pens.
To find the total, we add the number of notebooks to the number of pens. total = notebooks + pens = 30 + 80 = 110.
The final answer is: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</si>
  <si>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</si>
  <si>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</si>
  <si>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 Step 1: Calculate the total cost of tickets for Jeremie and her 3 friends.
The cost of a ticket is $18. Since there are 4 of them (Jeremie and her 3 friends), the total cost of tickets will be 18 * 4 = $72.
## Step 2: Calculate the total cost of snacks for Jeremie and her 3 friends.
The cost of a set of snacks is $5. Since each of the 4 friends wants a set, the total cost of snacks will be 5 * 4 = $20.
## Step 3: Calculate the total cost for the trip to the amusement park, including tickets and snacks.
To find the total cost, we need to add the cost of the tickets and the cost of the snacks. Total cost = cost of tickets + cost of snacks = $72 + $20 = $92.
The final answer is: ####92</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</si>
  <si>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</si>
  <si>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</si>
  <si>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 Step 1: Calculate the total amount of ribbon needed for the gifts.
To find out how much ribbon will be used, we need to multiply the number of gifts by the amount of ribbon each gift will use. So, 6 gifts * 2 yards per gift = 12 yards.
## Step 2: Subtract the amount of ribbon used from the total amount of ribbon Josh has.
To find out how much ribbon will be left, we subtract the amount used from the total amount Josh has. So, 18 yards - 12 yards = 6 yards.
The final answer is: ####6</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</si>
  <si>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</si>
  <si>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</si>
  <si>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 Step 1: Calculate the initial number of blue balls
Jamie had two times more blue balls than red balls. Since he had 16 red balls, he had 2 * 16 = 32 blue balls.
## Step 2: Calculate the total number of balls initially
The total number of balls Jamie had initially is the sum of the red and blue balls. Total = 16 (red) + 32 (blue) = 48 balls.
## Step 3: Calculate the number of red balls after losing some
Jamie lost 6 red balls, so he had 16 - 6 = 10 red balls left.
## Step 4: Calculate the total number of red and blue balls after losing some red balls
The number of blue balls remains the same, 32. So, the total number of red and blue balls after losing some red balls is 10 (red) + 32 (blue) = 42 balls.
## Step 5: Calculate the number of yellow balls Jamie bought
After buying yellow balls, Jamie had a total of 74 balls. Since he already had 42 balls (10 red and 32 blue), the number of yellow balls he bought is 74 - 42 = 32.
The final answer is: ####32</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</si>
  <si>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</si>
  <si>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</si>
  <si>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 Step 1: Calculate the number of hours Betty actually worked.
Betty took a 2-hour break out of the 5 hours, so she worked for 5 - 2 = 3 hours.
## Step 2: Calculate the number of cupcakes Betty made.
Betty makes 10 cupcakes every hour, so in 3 hours she made 10 * 3 = 30 cupcakes.
## Step 3: Calculate the number of cupcakes Dora made.
Dora makes 8 cupcakes every hour and worked for the full 5 hours, so she made 8 * 5 = 40 cupcakes.
## Step 4: Calculate the difference between the number of cupcakes they made.
The difference between the number of cupcakes Dora and Betty made is 40 - 30 = 10 cupcakes.
The final answer is: ####10</t>
  </si>
  <si>
    <t>Tim spends 1 hour a day meditating.  He spends twice as much time reading.  How much time a week does he spend reading?</t>
  </si>
  <si>
    <t>He spends 2*1=&lt;&lt;2*1=2&gt;&gt;2 hours reading
So he reads for 2*7=&lt;&lt;2*7=14&gt;&gt;14 hours a week
#### 14</t>
  </si>
  <si>
    <t>##14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</si>
  <si>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</si>
  <si>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</si>
  <si>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 Step 1: Calculate the total hours in a day
There are 24 hours in a day.
## Step 2: Calculate the hours Steve spends sleeping
Steve spends 1/3 of the day sleeping, which is (1/3) * 24 = 8 hours.
## Step 3: Calculate the hours Steve spends in school
Steve spends 1/6 of the day in school, which is (1/6) * 24 = 4 hours.
## Step 4: Calculate the hours Steve spends making assignments
Steve spends 1/12 of the day making assignments, which is (1/12) * 24 = 2 hours.
## Step 5: Calculate the total hours spent on known activities
Total hours spent on known activities = 8 (sleeping) + 4 (school) + 2 (assignments) = 14 hours.
## Step 6: Calculate the hours Steve spends with his family
Hours spent with family = Total hours in a day - Total hours spent on known activities = 24 - 14 = 10 hours.
The final answer is: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</si>
  <si>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</si>
  <si>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</si>
  <si>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 Step 1: Calculate the total energy consumption of Coco's oven in kWh.
To find the total energy consumption, we multiply the consumption rate of the oven by the total number of hours it was used. Total energy consumption = 2.4 kWh/hour * 25 hours.
## Step 2: Perform the multiplication to find the total energy consumption.
Total energy consumption = 2.4 * 25 = 60 kWh.
## Step 3: Calculate the total cost of using the oven.
The cost of electricity is $0.10 per kW. However, since the consumption is given in kWh, we need to ensure our units are consistent. The price is essentially $0.10 per kWh since 1 kW used for 1 hour equals 1 kWh. Therefore, the total cost = total energy consumption * price per kWh.
## Step 4: Perform the multiplication to find the total cost.
Total cost = 60 kWh * $0.10/kWh = $6.
The final answer is: $6</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</si>
  <si>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</si>
  <si>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</si>
  <si>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 Step 1: Calculate the number of surfers on the first day.
The number of surfers on the first day is given as 1500.
## Step 2: Calculate the number of surfers on the second day.
The number of surfers on the second day is 600 more than the first day, so it is 1500 + 600 = 2100.
## Step 3: Calculate the number of surfers on the third day.
The number of surfers on the third day is 2/5 as many as the first day, so it is (2/5) * 1500 = 600.
## Step 4: Calculate the total number of surfers for the three days.
The total number of surfers is 1500 + 2100 + 600 = 4200.
## Step 5: Calculate the average number of surfers for the three days.
The average number of surfers is the total number of surfers divided by the number of days, so it is 4200 / 3 = 1400.
The final answer is: ####1400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</si>
  <si>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</si>
  <si>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</si>
  <si>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 Step 1: Calculate the length of the second generation's tails
The second generation's tails are 25% longer than the first generation's tails. To calculate this, we first find 25% of 16 cm, which is 0.25 * 16 = 4 cm. Then, we add this to the original length: 16 cm + 4 cm = 20 cm.
## Step 2: Calculate the length of the third generation's tails
The third generation's tails are 25% longer than the second generation's tails. We find 25% of 20 cm, which is 0.25 * 20 = 5 cm. Then, we add this to the length of the second generation's tails: 20 cm + 5 cm = 25 cm.
The final answer is: ####25</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</si>
  <si>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</si>
  <si>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</si>
  <si>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 647082</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</si>
  <si>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</si>
  <si>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</si>
  <si>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 Step 1: Calculate the total number of arms of the starfish
To find the total number of arms of the starfish, we multiply the number of starfish by the number of arms each starfish has. total_starfish_arms = 7 * 5 = 35.
## Step 2: Add the number of arms of the seastar to the total number of arms of the starfish
Now, we add the number of arms of the seastar to the total number of arms of the starfish. total_arms = total_starfish_arms + 14 = 35 + 14 = 49.
The final answer is: ####49</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</si>
  <si>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</si>
  <si>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</si>
  <si>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 Step 1: Determine the rate at which crows eat worms
First, we need to figure out how many worms one crow eats in one hour. Since 3 crows eat 30 worms in one hour, we divide the total number of worms by the number of crows to find out how many worms one crow eats in an hour. So, 30 worms / 3 crows = 10 worms per crow per hour.
## Step 2: Calculate how many worms 5 crows eat in one hour
Now that we know one crow eats 10 worms in an hour, we multiply this rate by the number of crows to find out how many worms 5 crows eat in one hour. So, 10 worms per crow per hour * 5 crows = 50 worms per hour.
## Step 3: Calculate how many worms 5 crows eat in 2 hours
To find out how many worms 5 crows eat in 2 hours, we multiply the number of worms they eat in one hour by the number of hours. So, 50 worms per hour * 2 hours = 100 worms.
The final answer is: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</si>
  <si>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</si>
  <si>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</si>
  <si>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 Grant sold his baseball cards for $25.
## He got $10 for his baseball bat.
## He sold his $30 baseball glove at 20% off, so he sold it for 30 - (30 * 0.2) = 30 - 6 = $24.
## He sold 2 pairs of baseball cleats for $10 each, so he got 2 * 10 = $20 for the cleats.
## To find the total amount of money Grant made, we add the money from the cards, bat, glove, and cleats: 25 + 10 + 24 + 20 = $79.
The final answer is: ####79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</si>
  <si>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</si>
  <si>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</si>
  <si>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 Step 1: Determine the amount of time Jacob has left to finish his homework.
Jacob has 18 hours left to finish his homework.
## Step 2: Calculate the amount of time Greg has left to finish his homework.
Greg has 6 hours less than Jacob, so Greg has 18 - 6 = 12 hours left.
## Step 3: Calculate the amount of time Patrick has left to finish his homework.
Patrick has 4 hours less than twice the amount of time Greg has. Twice the amount of time Greg has is 2 * 12 = 24 hours. So, Patrick has 24 - 4 = 20 hours left.
## Step 4: Calculate the total amount of time all three have left to finish their homework.
The total amount of time is the sum of the time each has: Jacob (18 hours) + Greg (12 hours) + Patrick (20 hours) = 18 + 12 + 20 = 50 hours.
The final answer is: ####50</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</si>
  <si>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</si>
  <si>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</si>
  <si>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 Step 1: Calculate the total number of glasses of lemonade made.
Brad made 2 gallons of lemonade, and every gallon yields 16 glasses. So, the total number of glasses made is 2 * 16 = 32 glasses.
## Step 2: Calculate the total cost of making the lemonade.
It costs $3.50 to make every gallon of lemonade, and Brad made 2 gallons. So, the total cost is 2 * $3.50 = $7.00.
## Step 3: Calculate the total number of glasses sold.
Brad drank 5 glasses and had 6 glasses left unsold. So, the total number of glasses sold is 32 - 5 - 6 = 21 glasses.
## Step 4: Calculate the total revenue from selling the lemonade.
Brad sold each glass for $1.00, and he sold 21 glasses. So, the total revenue is 21 * $1.00 = $21.00.
## Step 5: Calculate the net profit earned by Brad.
The net profit is the total revenue minus the total cost. So, the net profit is $21.00 - $7.00 = $14.00.
The final answer is: ####14</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</si>
  <si>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</si>
  <si>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</si>
  <si>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 $49200</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</si>
  <si>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</si>
  <si>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</si>
  <si>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 Step 1: Calculate the total calories consumed for dinner
Total calories for dinner = calories from cake + calories from chips + calories from coke = 110 + 310 + 215 = 635 calories.
## Step 2: Calculate the total calories consumed for breakfast and lunch
Total calories for breakfast and lunch = calories from breakfast + calories from lunch = 560 + 780 = 1340 calories.
## Step 3: Calculate the total calories consumed so far in the day
Total calories consumed so far = Total calories for dinner + Total calories for breakfast and lunch = 635 + 1340 = 1975 calories.
## Step 4: Calculate the remaining allowed calorie intake for the day
Remaining allowed calorie intake = Total daily calorie limit - Total calories consumed so far = 2500 - 1975 = 525 calories.
The final answer is: ####525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</si>
  <si>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</si>
  <si>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</si>
  <si>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 Step 1: Determine the discount percentage
The shoes were marked 75% off, which means the price I paid is 25% of the original price.
## Step 2: Set up the equation to find the original price
Let x be the original price of the shoes. The equation can be set up as 0.25x = 51, since 25% of the original price equals $51.
## Step 3: Solve for x
To find the original price, divide both sides of the equation by 0.25. x = 51 / 0.25.
## Step 4: Calculate the original price
x = 51 / 0.25 = 204.
The final answer is: ####204</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</si>
  <si>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</si>
  <si>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</si>
  <si>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 Step 1: Calculate the total number of pages James writes in a day.
James writes 5 pages a day to 2 different people, so he writes a total of 5 * 2 = 10 pages a day.
## Step 2: Calculate the total number of pages James writes in a week.
Since there are 7 days in a week, James writes a total of 10 * 7 = 70 pages a week.
## Step 3: Calculate the total number of hours James spends writing in a week.
James writes 10 pages an hour, so to write 70 pages, he spends 70 / 10 = 7 hours a week.
The final answer is: ####7</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</si>
  <si>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</si>
  <si>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</si>
  <si>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 Step 1: Define the variables for the dimensions of the sandbox.
Let's denote the width of the sandbox as W and the length as L. We are given that the length is twice the width, so L = 2W.
## Step 2: Write down the formula for the perimeter of a rectangle.
The perimeter P of a rectangle is given by the formula P = 2L + 2W.
## Step 3: Substitute the given relationship between length and width into the perimeter formula.
Given that L = 2W, we substitute this into the perimeter formula: P = 2(2W) + 2W = 4W + 2W = 6W.
## Step 4: Use the given perimeter to solve for the width.
We are told the perimeter P is 30 feet. So, we set 6W = 30.
## Step 5: Solve the equation for W.
To find W, we divide both sides of the equation by 6: W = 30 / 6 = 5.
The final answer is: ####5</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</si>
  <si>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</si>
  <si>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</si>
  <si>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 Step 1: Calculate the total duration of the radio show in minutes.
The radio show plays for 3 hours a day. To convert hours into minutes, we multiply by 60 since there are 60 minutes in an hour. So, 3 hours * 60 minutes/hour = 180 minutes.
## Step 2: Calculate the total time taken by talking segments.
Each talking segment lasts 10 minutes, and there are 3 talking segments. So, the total time taken by talking segments is 3 * 10 = 30 minutes.
## Step 3: Calculate the total time taken by ad breaks.
Each ad break lasts 5 minutes, and there are 5 ad breaks. So, the total time taken by ad breaks is 5 * 5 = 25 minutes.
## Step 4: Calculate the total time taken by talking segments and ad breaks combined.
The total time taken by talking segments and ad breaks is 30 minutes (talking) + 25 minutes (ads) = 55 minutes.
## Step 5: Calculate the time left for playing songs.
The total duration of the show is 180 minutes, and talking segments and ad breaks take up 55 minutes. So, the time left for playing songs is 180 minutes - 55 minutes = 125 minutes.
The final answer is: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</si>
  <si>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</si>
  <si>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</si>
  <si>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 Step 1: Calculate the total weight of the three adults.
The total weight of the three adults is 3 * 140 = 420 pounds.
## Step 2: Calculate the total weight of the two children.
The total weight of the two children is 2 * 64 = 128 pounds.
## Step 3: Calculate the total weight currently in the elevator.
The total weight currently in the elevator is 420 + 128 = 548 pounds.
## Step 4: Determine the maximum weight the next person can have to not overload the elevator.
The maximum weight the elevator can hold is 600 pounds. So, the maximum weight the next person can have is 600 - 548 = 52 pounds.
The final answer is: ####52</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</si>
  <si>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</si>
  <si>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</si>
  <si>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 Step 1: Calculate the length of each part after the initial cut
The rope is 200 meters long and is cut into four equal parts. So, the length of each part is 200 / 4 = 50 meters.
## Step 2: Determine the number of pieces Stefan gives to his mother
Stefan gives his mother half of the cut pieces. Since there are 4 pieces, he gives her 4 / 2 = 2 pieces.
## Step 3: Calculate the number of pieces Stefan has left
After giving his mother 2 pieces, Stefan is left with 4 - 2 = 2 pieces.
## Step 4: Calculate the length of each subdivided piece
Stefan subdivides the remaining 2 pieces into two more equal parts each. This means each of the 2 pieces is cut into 2, resulting in 4 smaller pieces. Since each of the original pieces was 50 meters long, each smaller piece will be 50 / 2 = 25 meters long.
The final answer is: ####25</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</si>
  <si>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</si>
  <si>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</si>
  <si>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 Step 1: Calculate the total number of cheese balls in a 24oz barrel
To find the total number of cheese balls in a 24oz barrel, we need to multiply the number of servings by the number of cheese balls per serving. Total cheese balls in 24oz = 60 servings * 12 cheese balls/serving = 720 cheese balls.
## Step 2: Calculate the number of cheese balls per ounce in the 24oz barrel
To find out how many cheese balls are in each ounce, we divide the total number of cheese balls by the total ounces. Cheese balls per ounce = Total cheese balls in 24oz / 24oz = 720 cheese balls / 24oz = 30 cheese balls/oz.
## Step 3: Calculate the total number of cheese balls in a 35oz barrel
Now that we know there are 30 cheese balls per ounce, we can find out how many are in a 35oz barrel by multiplying the number of cheese balls per ounce by the total ounces. Total cheese balls in 35oz = 30 cheese balls/oz * 35oz = 1050 cheese balls.
The final answer is: ####1050</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</si>
  <si>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</si>
  <si>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</si>
  <si>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 Step 1: Calculate the total number of people on the plane
There are 30 passengers and 5 flight crew, so the total number of people is 30 + 5 = 35.
## Step 2: Calculate the total number of bags on the plane
Each person brought 2 bags, and there are 35 people, so the total number of bags is 35 * 2 = 70.
## Step 3: Calculate the additional fuel needed due to the people
Each person increases the fuel needed by 3 gallons per mile, and there are 35 people, so the additional fuel needed due to the people is 35 * 3 = 105 gallons per mile.
## Step 4: Calculate the additional fuel needed due to the bags
Each bag increases the fuel needed by 2 gallons per mile, and there are 70 bags, so the additional fuel needed due to the bags is 70 * 2 = 140 gallons per mile.
## Step 5: Calculate the total fuel needed per mile
The empty plane needs 20 gallons of fuel per mile. Adding the additional fuel needed due to the people (105 gallons per mile) and the bags (140 gallons per mile), the total fuel needed per mile is 20 + 105 + 140 = 265 gallons per mile.
## Step 6: Calculate the total fuel needed for the 400-mile trip
The total fuel needed per mile is 265 gallons, and the trip is 400 miles, so the total fuel needed for the trip is 265 * 400 = 106000 gallons.
The final answer is: ####106000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</si>
  <si>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</si>
  <si>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</si>
  <si>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 Step 1: Calculate the cost of the flashlight
The cost of the flashlight is 20% of the cost of the hoodie. The hoodie costs $80, so the flashlight costs 0.20 * $80 = $16.
## Step 2: Calculate the discounted cost of the boots
The original cost of the boots is $110, but Celina got them 10% cheaper. The discount is 0.10 * $110 = $11. So, the discounted cost of the boots is $110 - $11 = $99.
## Step 3: Calculate the total cost of the equipment
The total cost is the sum of the costs of the hoodie, the flashlight, and the boots. Total cost = $80 (hoodie) + $16 (flashlight) + $99 (boots) = $195.
The final answer is: ####195</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</si>
  <si>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</si>
  <si>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</si>
  <si>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 Step 1: Determine the number of carrots needed
Since Maria wants to cut up six times as many carrots as potatoes, and she has 2 potatoes, she needs 6 * 2 = 12 carrots.
## Step 2: Determine the number of onions needed
Maria wants to cut up twice as many onions as carrots. Since she needs 12 carrots, she will need 2 * 12 = 24 onions.
## Step 3: Determine the number of green beans needed
Maria wants to cut up 1/3 as many green beans as onions. Since she needs 24 onions, she will need (1/3) * 24 = 8 green beans.
The final answer is: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</si>
  <si>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</si>
  <si>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</si>
  <si>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 Step 1: Calculate the total amount Genevieve and Clarice paid for the cherries.
The total amount paid is the sum of what Genevieve had and what Clarice chipped in. Since Genevieve was $400 short, Clarice paid $400. So, the total amount paid is $1600 (Genevieve's money) + $400 (Clarice's money) = $2000.
## Step 2: Determine the cost per kilogram of the cherries.
The cost per kilogram of the cherries is given as $8.
## Step 3: Calculate the total number of kilograms of cherries bought.
To find the total number of kilograms, we divide the total amount paid by the cost per kilogram. Total kilograms = Total amount paid / Cost per kilogram = $2000 / $8.
## Step 4: Perform the division to find the number of kilograms.
$2000 / $8 = 250 kilograms.
The final answer is: ####250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</si>
  <si>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</si>
  <si>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</si>
  <si>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 Step 1: Calculate the total number of cars in the parking lot.
There are 10 cars from the guests, plus 2 cars belonging to Dylan's parents, making a total of 12 cars.
## Step 2: Calculate the total number of wheels from all the cars.
Each car has 4 wheels, so the total number of wheels is the total number of cars multiplied by 4. total_wheels = 12 * 4 = 48.
The final answer is: $\boxed{48}$</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</si>
  <si>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</si>
  <si>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</si>
  <si>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 Step 1: Define the ratio of ages
Let's represent the ages of Halima, Beckham, and Michelle as 4x, 3x, and 7x, respectively, where x is a common multiplier.
## Step 2: Calculate the total age using the ratio
The total age of the three siblings is given as 126. So, we can write the equation: 4x + 3x + 7x = 126.
## Step 3: Solve for x
Combine like terms: 14x = 126.
Divide both sides by 14: x = 9.
## Step 4: Calculate the ages of Halima and Beckham
Halima's age = 4x = 4 * 9 = 36.
Beckham's age = 3x = 3 * 9 = 27.
## Step 5: Calculate the age difference between Halima and Beckham
Age difference = Halima's age - Beckham's age = 36 - 27 = 9.
The final answer is: ####9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</si>
  <si>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</si>
  <si>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</si>
  <si>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 Step 1: Calculate the number of puppies adopted in the first week.
Yuri adopted 20 puppies in the first week.
## Step 2: Calculate the number of puppies adopted in the second week.
In the second week, Yuri adopted 2/5 times as many puppies as the first week. So, the number of puppies adopted in the second week is 2/5 * 20 = 8.
## Step 3: Calculate the number of puppies adopted in the third week.
In the third week, Yuri adopted twice the number of puppies he adopted in the second week. So, the number of puppies adopted in the third week is 2 * 8 = 16.
## Step 4: Calculate the number of puppies adopted in the fourth week.
In the fourth week, Yuri adopted ten more puppies than he adopted in the first week. So, the number of puppies adopted in the fourth week is 20 + 10 = 30.
## Step 5: Calculate the total number of puppies Yuri has now.
To find the total number of puppies Yuri has now, we need to add the number of puppies adopted in each week. Total puppies = 20 + 8 + 16 + 30 = 74.
The final answer is: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</si>
  <si>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</si>
  <si>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</si>
  <si>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 Step 1: Calculate the total distance traveled for work in a week
To find the total distance traveled for work, we first need to calculate the distance traveled each day. Since Tim rides his bike back and forth to work, the daily distance is 2 * 20 miles = 40 miles. For 5 workdays, the total distance is 40 miles * 5 days = 200 miles.
## Step 2: Add the weekend bike ride distance to the total distance
In addition to his work commute, Tim also goes for a 200-mile bike ride on the weekend. So, the total distance traveled in a week is 200 miles (work) + 200 miles (weekend ride) = 400 miles.
## Step 3: Calculate the total time spent biking in a week
Given that Tim bikes at a speed of 25 mph, we can calculate the total time spent biking by dividing the total distance by his speed. Time = Total Distance / Speed = 400 miles / 25 mph = 16 hours.
The final answer is: ####16</t>
  </si>
  <si>
    <t>The Dow Jones Industrial Average fell 2% today. The Dow ended the day at 8,722. What was the Dow in the morning before the markets opened?</t>
  </si>
  <si>
    <t>Today the Dow was down 8722 / 98*2 = &lt;&lt;8722/98*2=178&gt;&gt;178.
So it started at 8722 + 178 = &lt;&lt;8722+178=8900&gt;&gt;8900.
#### 8900</t>
  </si>
  <si>
    <t>## Step 1: Define the problem and the information given
The Dow Jones Industrial Average fell by 2% and ended the day at 8,722. We need to find the value of the Dow before the 2% decrease.
## Step 2: Set up the equation to solve for the original Dow value
Let x be the original value of the Dow. A 2% decrease means the Dow ended the day at 98% of its original value. So, 0.98x = 8722.
## Step 3: Solve for x, the original Dow value
To find x, divide both sides of the equation by 0.98: x = 8722 / 0.98.
## Step 4: Calculate the original Dow value
x = 8722 / 0.98 = 8900.
The final answer is: ####8900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</si>
  <si>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</si>
  <si>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</si>
  <si>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 Step 1: Calculate the amount of money John generates in the first 12 hours.
John generates $5000 per hour for the first 12 hours, so the total amount of money he generates in the first 12 hours is $5000 * 12 = $60,000.
## Step 2: Calculate the amount of money John generates per hour for the remaining 14 hours.
For the remaining 14 hours, John generates 20% more per hour than the initial $5000. 20% of $5000 is $1000, so he generates $5000 + $1000 = $6000 per hour for the remaining 14 hours.
## Step 3: Calculate the amount of money John generates in the remaining 14 hours.
The total amount of money John generates in the remaining 14 hours is $6000 * 14 = $84,000.
## Step 4: Calculate the total amount of money John generates.
The total amount of money John generates is the sum of the money generated in the first 12 hours and the money generated in the remaining 14 hours, which is $60,000 + $84,000 = $144,000.
The final answer is: ####144000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</si>
  <si>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</si>
  <si>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</si>
  <si>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 Step 1: Calculate the total weight of tuna available
Mr. Ray has 10 tuna, each weighing 200 pounds. So, the total weight of tuna available is 10 * 200 = 2000 pounds.
## Step 2: Calculate the total weight of tuna needed by all customers
Each customer wants 25 pounds of tuna, and there are 100 customers. So, the total weight of tuna needed is 100 * 25 = 2500 pounds.
## Step 3: Determine if there is enough tuna for all customers
Since the total weight of tuna needed (2500 pounds) is more than the total weight of tuna available (2000 pounds), not all customers will get tuna.
## Step 4: Calculate how many customers can be served with the available tuna
To find out how many customers can be served, we divide the total weight of tuna available by the weight each customer wants: 2000 / 25 = 80 customers.
## Step 5: Calculate the number of customers who will go home without any fish
Since Mr. Ray can only serve 80 customers and there are 100 customers in total, the number of customers who will go home without any fish is 100 - 80 = 20.
The final answer is: ####20</t>
  </si>
  <si>
    <t>Jack buys a squat rack for $2500.  The barbell cost 1/10 as much.  How much did he pay for everything?</t>
  </si>
  <si>
    <t>The barbell cost 2500/10=$&lt;&lt;2500/10=250&gt;&gt;250
So he paid 2500+250=$&lt;&lt;2500+250=2750&gt;&gt;2750 for everything
#### 2750</t>
  </si>
  <si>
    <t>## $2750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</si>
  <si>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</si>
  <si>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</si>
  <si>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 Step 1: Calculate the number of cars in the back parking lot.
The number of cars in the back parking lot is two times the number of cars in the front parking lot. So, 2 * 100 = 200 cars.
## Step 2: Calculate the total number of cars at the beginning of the play.
The total number of cars at the beginning of the play is the sum of the cars in the front and back parking lots. So, 100 + 200 = 300 cars.
## Step 3: Calculate the number of cars that packed into the parking lot during the play.
The number of cars that packed into the parking lot during the play is the difference between the total number of cars at the end of the play and the total number of cars at the beginning of the play. So, 700 - 300 = 400 cars.
The final answer is: ####400</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</si>
  <si>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</si>
  <si>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</si>
  <si>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 Step 1: Calculate the reduced price of a shirt
To find the reduced price of a shirt, we first need to calculate 20% of the original price of the shirt and then subtract that amount from the original price. The original price of a shirt is $60. 20% of $60 is 0.20 * $60 = $12. So, the reduced price of a shirt is $60 - $12 = $48.
## Step 2: Calculate the reduced price of a leather jacket
Similarly, to find the reduced price of a leather jacket, we calculate 20% of the original price of the leather jacket and subtract that amount from the original price. The original price of a leather jacket is $90. 20% of $90 is 0.20 * $90 = $18. So, the reduced price of a leather jacket is $90 - $18 = $72.
## Step 3: Calculate the total cost of buying 5 shirts at the reduced price
The reduced price of a shirt is $48. To find the total cost of buying 5 shirts, we multiply the reduced price of a shirt by the number of shirts: 5 * $48 = $240.
## Step 4: Calculate the total cost of buying 10 leather jackets at the reduced price
The reduced price of a leather jacket is $72. To find the total cost of buying 10 leather jackets, we multiply the reduced price of a leather jacket by the number of jackets: 10 * $72 = $720.
## Step 5: Calculate the total amount Teagan will pay for buying 5 shirts and 10 leather jackets
To find the total amount Teagan will pay, we add the total cost of the shirts and the total cost of the leather jackets: $240 + $720 = $960.
The final answer is: ####960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</si>
  <si>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</si>
  <si>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</si>
  <si>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 Step 1: Calculate the total amount of money Frank has
Frank has 7 one-dollar bills, which equals $7, 4 five-dollar bills, which equals $20, 2 ten-dollar bills, which equals $20, and 1 twenty-dollar bill, which equals $20. The total amount of money Frank has is $7 + $20 + $20 + $20 = $67.
## Step 2: Calculate the total amount Frank spent on peanuts
After buying peanuts, Frank has $4 left. So, the amount he spent on peanuts is $67 - $4 = $63.
## Step 3: Calculate the total pounds of peanuts Frank bought
Peanuts cost $3 per pound. The total pounds of peanuts Frank bought is $63 / $3 = 21 pounds.
## Step 4: Calculate the average pounds of peanuts Frank eats per day
Since Frank plans to eat the peanuts in one week, which has 7 days, the average pounds of peanuts he eats per day is 21 pounds / 7 days = 3 pounds per day.
The final answer is: ####3</t>
  </si>
  <si>
    <t>Amy's grandfather gave her $100 for her birthday. Amy bought 3 dolls, each of which cost $1. How much money does Amy have left?</t>
  </si>
  <si>
    <t>The cost of the dolls is 3 × $1 = $&lt;&lt;3*1=3&gt;&gt;3.
Amy has $100 − $3 = $97 left.
#### 97</t>
  </si>
  <si>
    <t>#### 97</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</si>
  <si>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</si>
  <si>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</si>
  <si>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 Step 1: Calculate the total profit Ronald wants to make
To find the total profit, we need to calculate a third of the initial investment. The initial investment is $3000, so the profit will be $3000 * (1/3) = $1000.
## Step 2: Calculate the total amount Ronald wants to make from selling all the phones
This includes the initial investment plus the profit. Total amount = Initial investment + Profit = $3000 + $1000 = $4000.
## Step 3: Calculate the selling price for each phone
To find the selling price per phone, we divide the total amount Ronald wants to make by the number of phones. Selling price per phone = Total amount / Number of phones = $4000 / 200 = $20.
The final answer is: ####20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</si>
  <si>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</si>
  <si>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</si>
  <si>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 Step 1: Calculate the number of pages written on the first day.
Cyrus writes 25 pages on the first day.
## Step 2: Calculate the number of pages written on the second day.
He writes twice the amount of the first day, so 2 * 25 = 50 pages on the second day.
## Step 3: Calculate the number of pages written on the third day.
He writes twice the amount of the second day, so 2 * 50 = 100 pages on the third day.
## Step 4: Calculate the number of pages written on the fourth day.
He writes 10 pages on the fourth day.
## Step 5: Calculate the total number of pages written in four days.
Total pages written = 25 + 50 + 100 + 10 = 185 pages.
## Step 6: Calculate the number of pages Cyrus still needs to write.
Total pages needed = 500 pages. Pages left to write = 500 - 185 = 315 pages.
The final answer is: ####315</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</si>
  <si>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</si>
  <si>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</si>
  <si>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 Step 1: Determine the number of miles Sam ran.
Sam ran a total of 12 miles.
## Step 2: Calculate the number of miles Harvey ran.
Since Harvey ran 8 miles more than Sam, we add 8 miles to Sam's total. Harvey ran 12 + 8 = 20 miles.
## Step 3: Calculate the total number of miles both friends ran together.
To find the total, we add the miles ran by Sam and Harvey. Total miles = 12 (Sam's miles) + 20 (Harvey's miles) = 32 miles.
The final answer is: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</si>
  <si>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</si>
  <si>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</si>
  <si>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 Step 1: Calculate the number of newspapers Jake delivers in a month.
Since there are approximately 4 weeks in a month, we multiply the number of newspapers Jake delivers in a week by 4. Jake delivers 234 newspapers a week, so in a month, he delivers 234 * 4 = 936 newspapers.
## Step 2: Calculate the number of newspapers Miranda delivers in a week.
Miranda delivers twice as many newspapers as Jake in a week. Since Jake delivers 234 newspapers a week, Miranda delivers 2 * 234 = 468 newspapers a week.
## Step 3: Calculate the number of newspapers Miranda delivers in a month.
To find out how many newspapers Miranda delivers in a month, we multiply the number of newspapers she delivers in a week by 4. So, Miranda delivers 468 * 4 = 1872 newspapers in a month.
## Step 4: Calculate the difference in the number of newspapers delivered by Miranda and Jake in a month.
To find out how many more newspapers Miranda delivers than Jake in a month, we subtract the number of newspapers Jake delivers in a month from the number Miranda delivers in a month. The difference is 1872 - 936 = 936 newspapers.
The final answer is: ####936</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</si>
  <si>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</si>
  <si>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</si>
  <si>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 Step 1: Calculate the total number of roses in all centerpieces.
There are 6 centerpieces, and each uses 8 roses. So, the total number of roses is 6 * 8 = 48 roses.
## Step 2: Calculate the total number of orchids in all centerpieces.
Each centerpiece uses twice as many orchids as roses, so each centerpiece uses 8 * 2 = 16 orchids. For 6 centerpieces, the total number of orchids is 6 * 16 = 96 orchids.
## Step 3: Calculate the total cost of roses and orchids.
The total number of roses and orchids is 48 + 96 = 144 flowers. Since each flower costs $15, the total cost for roses and orchids is 144 * $15 = $2160.
## Step 4: Determine the remaining budget for lilies.
Martha wants to spend $2700 in total, and she has already spent $2160 on roses and orchids. So, the remaining budget for lilies is $2700 - $2160 = $540.
## Step 5: Calculate the total number of lilies Martha can buy.
Since each flower costs $15, the total number of lilies Martha can buy is $540 / $15 = 36 lilies.
## Step 6: Calculate the number of lilies per centerpiece.
There are 6 centerpieces, and Martha can buy 36 lilies in total. So, the number of lilies per centerpiece is 36 / 6 = 6 lilies.
The final answer is: ####6</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</si>
  <si>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</si>
  <si>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</si>
  <si>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 Step 1: Calculate the distance Robin walks before returning home.
Robin walks 200 meters before realizing he forgot his bag.
## Step 2: Calculate the distance Robin walks to return home.
To return home, Robin walks the same distance back, which is 200 meters.
## Step 3: Calculate the total distance from Robin's house to the city center.
The total distance from Robin's house to the city center is 500 meters.
## Step 4: Calculate the total distance Robin walks.
The total distance Robin walks is the sum of the distance he walked before returning home (200 meters), the distance he walked to return home (200 meters), and the distance from his house to the city center (500 meters). total_distance = 200 + 200 + 500 = 900 meters.
The final answer is: ####900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</si>
  <si>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</si>
  <si>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</si>
  <si>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 Step 1: Calculate the total cost of the meal
To find the total cost of the meal, we need to add the prices of the dishes that Leticia, Scarlett, and Percy ordered. The total cost is $10 + $13 + $17 = $40.
## Step 2: Calculate the 10% tip
To calculate the 10% tip, we need to multiply the total cost of the meal by 0.10. The tip amount is $40 * 0.10 = $4.
The final answer is: ####4</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</si>
  <si>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</si>
  <si>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</si>
  <si>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</si>
  <si>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</si>
  <si>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 Step 1: Calculate the total amount of air needed to fill all the balloons.
To find the total amount of air needed, we multiply the number of balloons by the amount of air each balloon can hold. Total air = 52 balloons * 5 gallons/balloon = 260 gallons.
## Step 2: Calculate the amount of air filled in the first 10 minutes.
In the first 10 minutes, Kate fills balloons at a rate of 8 gallons per minute. So, the amount of air filled in the first 10 minutes = 8 gallons/minute * 10 minutes = 80 gallons.
## Step 3: Calculate the amount of air filled in the next 5 minutes.
For the next 5 minutes, Kate fills balloons at half the rate of the first 10 minutes, which is 8 / 2 = 4 gallons per minute. So, the amount of air filled in the next 5 minutes = 4 gallons/minute * 5 minutes = 20 gallons.
## Step 4: Calculate the total amount of air filled in the first 15 minutes.
The total amount of air filled in the first 15 minutes = air filled in the first 10 minutes + air filled in the next 5 minutes = 80 gallons + 20 gallons = 100 gallons.
## Step 5: Calculate the remaining amount of air needed to fill all the balloons.
The remaining amount of air needed = total amount of air needed - total amount of air filled in the first 15 minutes = 260 gallons - 100 gallons = 160 gallons.
## Step 6: Calculate the time needed to fill the remaining balloons at the rate of 2 gallons per minute.
The time needed to fill the remaining balloons = remaining amount of air needed / rate = 160 gallons / 2 gallons/minute = 80 minutes.
## Step 7: Calculate the total time needed to fill all the balloons.
The total time needed = time spent in the first 15 minutes + time needed to fill the remaining balloons = 15 minutes + 80 minutes = 95 minutes.
The final answer is: ####95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</si>
  <si>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</si>
  <si>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</si>
  <si>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 Step 1: Calculate the number of red socks
James has 20 pairs of red socks. Since each pair contains 2 socks, the total number of red socks is 20 * 2 = 40.
## Step 2: Calculate the number of black socks
James has half as many black socks as red socks. So, the number of black socks is 40 / 2 = 20.
## Step 3: Calculate the total number of red and black socks combined
The total number of red and black socks is 40 (red) + 20 (black) = 60.
## Step 4: Calculate the number of white socks
James has twice as many white socks as red and black socks combined. So, the number of white socks is 2 * 60 = 120.
## Step 5: Calculate the total number of socks
The total number of socks is the sum of red, black, and white socks: 40 (red) + 20 (black) + 120 (white) = 180.
The final answer is: ####180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</si>
  <si>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</si>
  <si>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</si>
  <si>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 Step 1: Calculate the rainfall on Monday
The rainfall on Monday can be calculated by multiplying the rate of rainfall (1 inch per hour) by the number of hours it rained (7 hours). So, the rainfall on Monday is 1 * 7 = 7 inches.
## Step 2: Calculate the rainfall on Tuesday
The rainfall on Tuesday can be calculated by multiplying the rate of rainfall (2 inches per hour) by the number of hours it rained (4 hours). So, the rainfall on Tuesday is 2 * 4 = 8 inches.
## Step 3: Calculate the rainfall on Wednesday
The rate of rainfall on Wednesday is twice that of Tuesday, which means it is 2 * 2 = 4 inches per hour. It rained for 2 hours on Wednesday. So, the rainfall on Wednesday is 4 * 2 = 8 inches.
## Step 4: Calculate the total combined rainfall for the three days
To find the total combined rainfall, we need to add the rainfall from Monday, Tuesday, and Wednesday. So, the total combined rainfall is 7 + 8 + 8 = 23 inches.
The final answer is: ####23</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</si>
  <si>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</si>
  <si>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</si>
  <si>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 $24,400
is incorrect, the correct calculation is: 
$12,000 + $16,000 = $28,000 
$28,000 - $1,600 = $26,400 
The final answer is: #### $26,400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</si>
  <si>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</si>
  <si>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</si>
  <si>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 Step 1: Calculate the total number of pages Yasna needs to read.
Yasna has two books, one with 180 pages and the other with 100 pages. So, the total number of pages is 180 + 100 = 280 pages.
## Step 2: Determine the number of days Yasna has to read the books.
Yasna wants to finish both books in two weeks. Since there are 7 days in a week, she has 2 * 7 = 14 days to read the books.
## Step 3: Calculate the number of pages Yasna needs to read each day.
To find out how many pages Yasna needs to read each day, we divide the total number of pages by the number of days. So, 280 pages / 14 days = 20 pages per day.
The final answer is: ####20</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</si>
  <si>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</si>
  <si>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</si>
  <si>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 Step 1: Calculate the distance driven by Joseph
To find the distance driven by Joseph, we multiply his speed (50 mph) by the time he drove (2.5 hours). distance_joseph = speed_joseph * time_joseph = 50 * 2.5 = 125 miles.
## Step 2: Calculate the distance driven by Kyle
To find the distance driven by Kyle, we multiply his speed (62 mph) by the time he drove (2 hours). distance_kyle = speed_kyle * time_kyle = 62 * 2 = 124 miles.
## Step 3: Find the difference in the distances driven by Joseph and Kyle
To determine how many more miles Joseph drove than Kyle, we subtract the distance driven by Kyle from the distance driven by Joseph. difference = distance_joseph - distance_kyle = 125 - 124 = 1 mile.
The final answer is: ####1</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</si>
  <si>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</si>
  <si>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</si>
  <si>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 Step 1: Calculate the total hours in a day
There are 24 hours in a day.
## Step 2: Calculate the total hours spent on cleaning and cooking
Claire spends 4 hours cleaning and 2 hours cooking, for a total of 4 + 2 = 6 hours.
## Step 3: Calculate the total hours spent sleeping
Claire sleeps for 8 hours.
## Step 4: Calculate the total hours spent on scheduled activities
The total hours spent on scheduled activities (cleaning, cooking, and sleeping) is 6 + 8 = 14 hours.
## Step 5: Calculate the remaining hours in the day
The remaining hours in the day are 24 - 14 = 10 hours.
## Step 6: Calculate the hours spent crafting
Since Claire divides the rest of her working day equally between crafting and tailoring, she spends half of the remaining 10 hours on crafting. So, the hours spent crafting is 10 / 2 = 5 hours.
The final answer is: ####5</t>
  </si>
  <si>
    <t>Josette bought 3 bottles of mineral water for €1.50. How much will four bottles cost?</t>
  </si>
  <si>
    <t>A bottle costs 1.50 € / 3 = &lt;&lt;1.50/3=0.50&gt;&gt;0.50 €.
So, four bottles cost 0.50 € * 4 = &lt;&lt;0.50*4=2&gt;&gt;2 €.
#### 2</t>
  </si>
  <si>
    <t>To find the cost of four bottles, we first need to find the cost of one bottle. 
The cost of 3 bottles is €1.50. 
So, the cost of one bottle is €1.50 / 3 = €0.50. 
The cost of four bottles will be €0.50 * 4 = €2. 
#### 2</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</si>
  <si>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</si>
  <si>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</si>
  <si>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 Step 1: Calculate the total hours worked by all employees in a week
Fiona works 40 hours a week, John works 30 hours, and Jeremy works 25 hours. So, the total hours worked by all employees in a week is 40 + 30 + 25 = 95 hours.
## Step 2: Calculate the total amount paid to all employees in a week
The employees are paid $20 per hour. So, the total amount paid to all employees in a week is 95 hours * $20/hour = $1900.
## Step 3: Calculate the total amount paid to all employees in a month
Since there are approximately 4 weeks in a month, the total amount paid to all employees in a month is $1900 * 4 = $7600.
The final answer is: ####7600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</si>
  <si>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</si>
  <si>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</si>
  <si>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Julia starts with $40. She spends half of her money, which is $40 * 0.5 = $20, on a new game. So she has $40 - $20 = $20 left. 
Then, she spends a quarter of what she has left, which is $20 * 0.25 = $5, on in-game purchases. 
So, she has $20 - $5 = $15 left.
#### 15</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</si>
  <si>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</si>
  <si>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</si>
  <si>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 Step 1: Calculate the total number of trees to be planted
Since the association decided to plant a tree on every street and there are eighteen streets, they will plant a total of 18 trees.
## Step 2: Determine the number of fruit trees to be planted
The association wanted every other tree to be a fruit tree. This means that half of the total trees will be fruit trees. So, the number of fruit trees = total trees / 2 = 18 / 2 = 9.
## Step 3: Calculate the number of each kind of fruit tree
The association agreed to plant equal numbers of plum, pear, and apricot trees. Since there are 3 types of fruit trees and a total of 9 fruit trees, the number of each kind of tree = total fruit trees / 3 = 9 / 3 = 3.
The final answer is: $\boxed{3}$</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</si>
  <si>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</si>
  <si>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</si>
  <si>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</si>
  <si>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</si>
  <si>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</si>
  <si>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 Step 1: Calculate the total distance Bess's Frisbees travel
Bess throws the Frisbee 20 meters and back, so each throw covers a distance of 20 * 2 = 40 meters. Since she does this 4 times, the total distance her Frisbees travel is 40 * 4 = 160 meters.
## Step 2: Calculate the total distance Holly's Frisbees travel
Holly throws the Frisbee 8 meters, and it lands there without being thrown back. So, each throw covers a distance of 8 meters. Since she does this 5 times, the total distance her Frisbees travel is 8 * 5 = 40 meters.
## Step 3: Add the distances traveled by Bess's and Holly's Frisbees to get the total distance
Total distance = distance traveled by Bess's Frisbees + distance traveled by Holly's Frisbees = 160 + 40 = 200 meters.
The final answer is: ####200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</si>
  <si>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</si>
  <si>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</si>
  <si>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 Step 1: Calculate the number of red flowers.
Since there are 9 green flowers and there are three times more red flowers, the number of red flowers is 9 * 3 = 27.
## Step 2: Calculate the number of blue flowers.
Blue flowers make up 50% of the total flower count, which is 96 flowers. So, the number of blue flowers is 96 * 0.5 = 48.
## Step 3: Calculate the total number of green, red, and blue flowers.
The total number of green, red, and blue flowers is 9 (green) + 27 (red) + 48 (blue) = 84.
## Step 4: Calculate the number of yellow flowers.
The total number of flowers is 96, and the total number of green, red, and blue flowers is 84. So, the number of yellow flowers is 96 - 84 = 12.
The final answer is: ####12</t>
  </si>
  <si>
    <t>Billy weighs 9 pounds more than Brad. Brad weighs 5 pounds more than Carl. If Carl weighs 145 pounds, how much does Billy weigh, in pounds?</t>
  </si>
  <si>
    <t>Brad weighs 145+5=&lt;&lt;145+5=150&gt;&gt;150 pounds.
Billy weighs 150+9=&lt;&lt;150+9=159&gt;&gt;159 pounds.
#### 159</t>
  </si>
  <si>
    <t>## Step 1: Determine Carl's weight
Carl weighs 145 pounds.
## Step 2: Calculate Brad's weight
Brad weighs 5 pounds more than Carl, so Brad's weight is 145 + 5 = 150 pounds.
## Step 3: Calculate Billy's weight
Billy weighs 9 pounds more than Brad, so Billy's weight is 150 + 9 = 159 pounds.
The final answer is: ####159</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</si>
  <si>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</si>
  <si>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</si>
  <si>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 Step 1: Calculate the total cost of cappuccinos
The cost of 3 cappuccinos is 3 * $2 = $6.
## Step 2: Calculate the total cost of iced teas
The cost of 2 iced teas is 2 * $3 = $6.
## Step 3: Calculate the total cost of cafe lattes
The cost of 2 cafe lattes is 2 * $1.5 = $3.
## Step 4: Calculate the total cost of espressos
The cost of 2 espressos is 2 * $1 = $2.
## Step 5: Calculate the total cost of all drinks
The total cost of all drinks is $6 + $6 + $3 + $2 = $17.
## Step 6: Calculate the change Sandy receives back
Sandy pays with a $20 bill, so the change she receives back is $20 - $17 = $3.
The final answer is: ####3</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</si>
  <si>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</si>
  <si>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</si>
  <si>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 Step 1: Calculate the total distance of the trip including the detour
The normal trip distance is 150 miles, but John drove 50 miles out of the way and then had to drive 50 miles back to get on track. So, the total distance traveled is 150 + 50 + 50 = 250 miles.
## Step 2: Calculate John's speed
John's normal trip is 150 miles and takes 3 hours. To find his speed, we divide the distance by the time: speed = distance / time = 150 miles / 3 hours = 50 miles per hour.
## Step 3: Calculate the time taken for the trip with the detour
Using the formula time = distance / speed, we can find the time taken for the trip with the detour. The total distance is 250 miles, and John's speed is 50 miles per hour. So, time = 250 miles / 50 miles per hour = 5 hours.
The final answer is: ####5</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</si>
  <si>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</si>
  <si>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</si>
  <si>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 Step 1: Calculate the cost of buying the cameras for both Maddox and Theo.
The cost of buying 3 cameras at $20 each is 3 * $20 = $60 for both Maddox and Theo.
## Step 2: Calculate the profit made by Maddox from selling his cameras.
Maddox sold his cameras at $28 each, so he made 3 * $28 = $84 from the sale. His profit is $84 - $60 = $24.
## Step 3: Calculate the profit made by Theo from selling his cameras.
Theo sold his cameras at $23 each, so he made 3 * $23 = $69 from the sale. His profit is $69 - $60 = $9.
## Step 4: Calculate the difference in profit between Maddox and Theo.
The difference in profit is Maddox's profit - Theo's profit = $24 - $9 = $15.
The final answer is: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</si>
  <si>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</si>
  <si>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</si>
  <si>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 Step 1: Calculate the number of ripe oranges
There were 96 oranges in total, and half of them were ripe. So, the number of ripe oranges is 96 / 2 = 48.
## Step 2: Calculate the number of unripe oranges
Since half of the oranges were ripe, the other half were unripe. Therefore, the number of unripe oranges is also 96 / 2 = 48.
## Step 3: Calculate the number of ripe oranges eaten
1/4 of the ripe oranges were eaten. So, the number of ripe oranges eaten is 48 * (1/4) = 12.
## Step 4: Calculate the number of unripe oranges eaten
1/8 of the unripe oranges were eaten. So, the number of unripe oranges eaten is 48 * (1/8) = 6.
## Step 5: Calculate the total number of oranges eaten
The total number of oranges eaten is the sum of the ripe and unripe oranges eaten, which is 12 + 6 = 18.
## Step 6: Calculate the total number of oranges left
The total number of oranges left is the initial total minus the ones eaten, which is 96 - 18 = 78.
The final answer is: ####78</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</si>
  <si>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</si>
  <si>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</si>
  <si>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 Step 1: Determine the number of Alien Baseball cards
Since the Battle Gremlins card collection is three times the size of the Alien Baseball card collection and it has 48 cards, we can find the number of Alien Baseball cards by dividing 48 by 3.
## Step 2: Calculate the number of Alien Baseball cards
Number of Alien Baseball cards = 48 / 3 = 16.
## Step 3: Determine the number of Monster Club cards
Oliver has twice as many Monster Club cards as Alien Baseball cards. So, we can find the number of Monster Club cards by multiplying the number of Alien Baseball cards by 2.
## Step 4: Calculate the number of Monster Club cards
Number of Monster Club cards = 2 * 16 = 32.
The final answer is: ####32</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</si>
  <si>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</si>
  <si>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</si>
  <si>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 ####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</si>
  <si>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</si>
  <si>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</si>
  <si>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 Step 1: Calculate the cost of the nuts
To find the cost of the nuts, we multiply the weight of the nuts by the cost per kilogram. So, 3 kilograms of nuts at $12 per kilogram will be 3 * $12 = $36.
## Step 2: Calculate the cost of the dried fruits
Next, we calculate the cost of the dried fruits by multiplying the weight of the dried fruits by the cost per kilogram. Thus, 2.5 kilograms of dried fruits at $8 per kilogram will be 2.5 * $8 = $20.
## Step 3: Find the total cost of the purchases
To get the total cost, we add the cost of the nuts to the cost of the dried fruits. So, $36 (nuts) + $20 (dried fruits) = $56.
The final answer is: $56</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</si>
  <si>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</si>
  <si>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</si>
  <si>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 Step 1: Calculate the total hours worked by each man
Each man worked for 10 hours on the first day, 8 hours on the second day, and 15 hours on the third day. So, the total hours worked by each man is 10 + 8 + 15 = 33 hours.
## Step 2: Calculate the total amount earned by each man
Since each man is paid $10 per hour, the total amount earned by each man is 33 hours * $10/hour = $330.
## Step 3: Calculate the total amount earned by both men
Since there are 2 men, the total amount earned by both men is $330 * 2 = $660.
The final answer is: $660</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</si>
  <si>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</si>
  <si>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</si>
  <si>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 Step 1: Calculate the distance Amoli drove
Amoli drove at 42 miles per hour for 3 hours. Distance = speed * time = 42 * 3 = 126 miles.
## Step 2: Calculate the distance Anayet drove
Anayet drove at 61 miles per hour for 2 hours. Distance = speed * time = 61 * 2 = 122 miles.
## Step 3: Calculate the total distance driven by both Amoli and Anayet
Total distance driven = distance driven by Amoli + distance driven by Anayet = 126 + 122 = 248 miles.
## Step 4: Calculate the remaining distance they need to travel
Remaining distance = total distance - total distance driven = 369 - 248 = 121 miles.
The final answer is: ####121</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</si>
  <si>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</si>
  <si>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</si>
  <si>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 Step 1: Calculate the total number of pigeons including chicks.
First, we need to calculate the total number of pigeons, including the chicks. Since each of the 40 pigeons has 6 chicks, the total number of pigeons (including chicks) is 40 pigeons + (40 pigeons * 6 chicks/pigeon) = 40 + 240 = 280 pigeons.
## Step 2: Calculate the number of pigeons eaten by the peregrines.
Next, we calculate the number of pigeons eaten by the peregrines. The peregrines eat 30% of the pigeons. So, the number of pigeons eaten is 30% of 280, which is 0.3 * 280 = 84 pigeons.
## Step 3: Calculate the number of pigeons left.
To find the number of pigeons left, we subtract the number of pigeons eaten from the total number of pigeons. So, the number of pigeons left is 280 - 84 = 196 pigeons.
The final answer is: ####196</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</si>
  <si>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</si>
  <si>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</si>
  <si>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 Step 1: Calculate Margarita's jump distance
Margarita jumped 1 foot less than twice Ricciana's jump. Ricciana jumped 4 feet. Twice Ricciana's jump is 2 * 4 = 8 feet. One foot less than that is 8 - 1 = 7 feet.
## Step 2: Calculate Margarita's total distance
Margarita ran 18 feet and jumped 7 feet. So, Margarita's total distance is 18 + 7 = 25 feet.
## Step 3: Calculate Ricciana's total distance
Ricciana ran 20 feet and jumped 4 feet. So, Ricciana's total distance is 20 + 4 = 24 feet.
## Step 4: Calculate the difference in their total distances
To find out how much farther Margarita ran and jumped than Ricciana, we subtract Ricciana's total distance from Margarita's total distance. That is 25 - 24 = 1 foot.
The final answer is: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</si>
  <si>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</si>
  <si>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</si>
  <si>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 Step 1: Determine the number of items Tanya found.
Tanya found 4 items.
## Step 2: Calculate the number of items Samantha found.
Samantha found four times the amount of items than Tanya, so Samantha found 4 * 4 = 16 items.
## Step 3: Calculate the number of items Lewis found.
Lewis found 4 more items than Samantha, so Lewis found 16 + 4 = 20 items.
The final answer is: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</si>
  <si>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</si>
  <si>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</si>
  <si>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 Step 1: Calculate the total area of Drew's lawn
To find the total area of Drew's lawn, we multiply the distance from the house to the curb by the distance from side to side. The area is 22 feet * 36 feet = 792 square feet.
## Step 2: Calculate the total area that four bags of grass seed can cover
One bag of grass seed covers 250 square feet. Since Drew bought four bags, the total area that the seed can cover is 4 * 250 = 1000 square feet.
## Step 3: Calculate the leftover area that the grass seed can cover after reseeding the lawn
To find the leftover area, we subtract the total area of Drew's lawn from the total area that the four bags of seed can cover. The leftover area is 1000 - 792 = 208 square feet.
The final answer is: ####208</t>
  </si>
  <si>
    <t>There are 350 trees in the park, 70% of which are pine trees. How many are not pine trees?</t>
  </si>
  <si>
    <t>There are 350 x 70/100 = &lt;&lt;350*70/100=245&gt;&gt;245 pine trees.
Therefore, 350 - 245 = &lt;&lt;350-245=105&gt;&gt;105 trees are not pine trees.
#### 105</t>
  </si>
  <si>
    <t>## Step 1: Calculate the number of pine trees in the park.
To find the number of pine trees, we need to calculate 70% of the total number of trees. The total number of trees is 350, and 70% of 350 can be calculated as 0.7 * 350.
## Step 2: Perform the calculation of 70% of 350.
0.7 * 350 = 245. So, there are 245 pine trees in the park.
## Step 3: Calculate the number of trees that are not pine trees.
To find the number of trees that are not pine trees, we subtract the number of pine trees from the total number of trees. This can be calculated as 350 - 245.
## Step 4: Perform the subtraction to find the number of non-pine trees.
350 - 245 = 105.
The final answer is: ####105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</si>
  <si>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</si>
  <si>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</si>
  <si>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 35.0</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</si>
  <si>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</si>
  <si>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</si>
  <si>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 Step 1: Calculate the total number of pages left to read
Bekah started with 408 pages and read 113 pages over the weekend. So, the total number of pages left to read is 408 - 113 = 295 pages.
## Step 2: Determine the number of pages Bekah needs to read each day
Bekah has 5 days left to finish her reading. To find out how many pages she needs to read each day, we divide the total number of pages left by the number of days: 295 pages / 5 days = 59 pages per day.
The final answer is: ####59</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</si>
  <si>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</si>
  <si>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</si>
  <si>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 Step 1: Calculate the total city miles for the round trip
To find the total city miles for the round trip, we need to multiply the one-way city distance by 2. total_city_miles = 60 * 2 = 120 miles.
## Step 2: Calculate the total highway miles for the round trip
To find the total highway miles for the round trip, we need to multiply the one-way highway distance by 2. total_highway_miles = 200 * 2 = 400 miles.
## Step 3: Calculate the total gallons of gas used in the city
To find the total gallons of gas used in the city, we need to divide the total city miles by the city miles per gallon. total_city_gallons = total_city_miles / 30 = 120 / 30 = 4 gallons.
## Step 4: Calculate the total gallons of gas used on the highway
To find the total gallons of gas used on the highway, we need to divide the total highway miles by the highway miles per gallon. total_highway_gallons = total_highway_miles / 40 = 400 / 40 = 10 gallons.
## Step 5: Calculate the total gallons of gas used for the round trip
To find the total gallons of gas used for the round trip, we need to add the total city gallons and the total highway gallons. total_gallons = total_city_gallons + total_highway_gallons = 4 + 10 = 14 gallons.
## Step 6: Calculate the total cost of gas for the round trip
To find the total cost of gas for the round trip, we need to multiply the total gallons by the cost per gallon. total_cost = total_gallons * 3 = 14 * 3 = 42 dollars.
The final answer is: $####42</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</si>
  <si>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</si>
  <si>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</si>
  <si>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 Step 1: Calculate the total number of blue sequins
To find the total number of blue sequins, we multiply the number of rows by the number of sequins per row. So, 6 rows * 8 blue sequins per row = 48 blue sequins.
## Step 2: Calculate the total number of purple sequins
To find the total number of purple sequins, we multiply the number of rows by the number of sequins per row. So, 5 rows * 12 purple sequins per row = 60 purple sequins.
## Step 3: Calculate the total number of green sequins
To find the total number of green sequins, we multiply the number of rows by the number of sequins per row. So, 9 rows * 6 green sequins per row = 54 green sequins.
## Step 4: Calculate the total number of sequins
To find the total number of sequins, we add the total number of blue, purple, and green sequins together. So, 48 blue sequins + 60 purple sequins + 54 green sequins = 162 sequins.
The final answer is: ####162</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</si>
  <si>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</si>
  <si>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</si>
  <si>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 Step 1: Determine the rate at which Bob can shuck oysters per minute.
Bob can shuck 10 oysters in 5 minutes, so his rate is 10 oysters / 5 minutes = 2 oysters per minute.
## Step 2: Calculate the number of minutes in 2 hours.
There are 60 minutes in 1 hour, so in 2 hours there are 60 * 2 = 120 minutes.
## Step 3: Calculate the total number of oysters Bob can shuck in 2 hours.
Using the rate of 2 oysters per minute, in 120 minutes Bob can shuck 2 * 120 = 240 oysters.
The final answer is: $####240$</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</si>
  <si>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</si>
  <si>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</si>
  <si>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##30
To find the total miles driven, we add the miles for each errand: 10 + 15 + 5 = 30 miles. To find the halfway point, we divide the total miles by 2: 30 / 2 = 15 miles. The answer is 15.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</si>
  <si>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</si>
  <si>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</si>
  <si>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 Step 1: Define the variables for the number of dogs and cats.
Let's denote the number of dogs as D and the number of cats as C. We know that C = D + 20.
## Step 2: Set up the equation based on the total number of animals.
The total number of animals is given as 60, which means D + C = 60. Substituting C from step 1, we get D + (D + 20) = 60.
## Step 3: Solve the equation for D.
Combining like terms, we have 2D + 20 = 60. Subtracting 20 from both sides gives 2D = 40. Dividing both sides by 2 yields D = 20.
## Step 4: Calculate the number of cats.
Since C = D + 20, and we found D to be 20, then C = 20 + 20 = 40.
The final answer is: $\boxed{40}$</t>
  </si>
  <si>
    <t>John goes to the store and pays with a 20 dollar bill.  He buys 3 sodas and gets $14 in change.  How much did each soda cost?</t>
  </si>
  <si>
    <t>He paid 20-14=$&lt;&lt;20-14=6&gt;&gt;6
So each soda cost 6/3=$&lt;&lt;6/3=2&gt;&gt;2
#### 2</t>
  </si>
  <si>
    <t>## Step 1: Calculate the total amount spent by subtracting the change from the 20 dollar bill.
Total amount spent = 20 - 14 = 6 dollars.
## Step 2: Determine the cost of each soda by dividing the total amount spent by the number of sodas purchased.
Cost per soda = Total amount spent / Number of sodas = 6 / 3 = 2 dollars.
The final answer is: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</si>
  <si>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</si>
  <si>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</si>
  <si>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 Step 1: Calculate the total weight of the crates
To find the total weight of the crates, we multiply the number of crates by the weight of one crate. So, 12 crates * 4 kilograms/crate = 48 kilograms.
## Step 2: Calculate the total weight of the cartons
To find the total weight of the cartons, we multiply the number of cartons by the weight of one carton. So, 16 cartons * 3 kilograms/carton = 48 kilograms.
## Step 3: Add the total weight of the crates and cartons to find the total weight of the load
Now, we add the total weight of the crates and the total weight of the cartons to find the total weight of the load. So, 48 kilograms (crates) + 48 kilograms (cartons) = 96 kilograms.
The final answer is: $####96$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</si>
  <si>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</si>
  <si>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</si>
  <si>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 Step 1: Calculate the annual cost of renting the pasture.
The cost of renting the pasture is $500 per month. To find the annual cost, we multiply this by 12. Annual pasture cost = $500 * 12 = $6000.
## Step 2: Calculate the annual cost of food for the pony.
The cost of food is $10 per day. To find the annual cost, we multiply this by 365 (days in a year). Annual food cost = $10 * 365 = $3650.
## Step 3: Calculate the annual cost of lessons for the pony.
The cost of lessons is $60 per lesson, and Andrea takes 2 lessons a week. First, we find the weekly cost: $60 * 2 = $120. Then, we multiply this by 52 (weeks in a year) to find the annual cost. Annual lesson cost = $120 * 52 = $6240.
## Step 4: Add up all the annual costs to find the total amount spent on the pony in a year.
Total annual cost = Annual pasture cost + Annual food cost + Annual lesson cost = $6000 + $3650 + $6240 = $15890.
The final answer is: ####15890</t>
  </si>
  <si>
    <t>The teachers divided the group of students into 3 groups of 8. But 2 students left early. How many remain?</t>
  </si>
  <si>
    <t>There were initially 3*8=&lt;&lt;3*8=24&gt;&gt;24.
Now there are 24-2=&lt;&lt;24-2=22&gt;&gt;22.
####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</si>
  <si>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</si>
  <si>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</si>
  <si>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 Step 1: Calculate the number of adults who were vaccinated.
First, we need to find out how many adults were vaccinated. Since 80% of the people were adults, we calculate 80% of 650.
## Step 2: Perform the calculation for the number of adults.
Number of adults = 80% * 650 = 0.8 * 650 = 520.
## Step 3: Calculate the number of children who were vaccinated.
To find the number of children, we subtract the number of adults from the total number of people vaccinated.
## Step 4: Perform the calculation for the number of children.
Number of children = Total number of people - Number of adults = 650 - 520 = 130.
The final answer is: ####130</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</si>
  <si>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</si>
  <si>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</si>
  <si>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 Step 1: Calculate the number of sheets of paper in one binder.
To find out how many sheets of paper are in one binder, we need to divide the total number of sheets by the number of binders. total_sheets = 2450, number_of_binders = 5. sheets_per_binder = total_sheets / number_of_binders = 2450 / 5 = 490.
## Step 2: Calculate the number of sheets of paper Justine colored.
Justine colored one-half of the sheets in one binder. sheets_colored = sheets_per_binder / 2 = 490 / 2 = 245.
The final answer is: ####245</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</si>
  <si>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</si>
  <si>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</si>
  <si>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 Step 1: Calculate the number of water balloons Max fills up
Max fills up water balloons for 30 minutes at a rate of 2 water balloons every minute. So, the total number of water balloons Max fills up is 30 * 2 = 60.
## Step 2: Calculate the number of water balloons Zach fills up
Zach fills up water balloons for 40 minutes at a rate of 3 water balloons every minute. So, the total number of water balloons Zach fills up is 40 * 3 = 120.
## Step 3: Calculate the total number of water balloons Max and Zach have
The total number of water balloons Max and Zach have is the sum of the water balloons each of them filled up. So, the total is 60 + 120 = 180.
## Step 4: Subtract the number of water balloons that popped
10 of the water balloons popped on the ground. So, we need to subtract 10 from the total number of water balloons. 180 - 10 = 170.
The final answer is: ####170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</si>
  <si>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</si>
  <si>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</si>
  <si>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 Step 1: Calculate the total number of games played by adding the games won by Archibald and his brother.
Total games = games won by Archibald + games won by his brother = 12 + 18 = 30.
## Step 2: Calculate the percentage of games won by Archibald by dividing the number of games he won by the total number of games and then multiplying by 100.
Percentage of games won by Archibald = (games won by Archibald / total games) * 100 = (12 / 30) * 100 = 0.4 * 100 = 40.
The final answer is: ####40</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</si>
  <si>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</si>
  <si>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</si>
  <si>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 Step 1: Calculate the total number of decorations Mrs. Jackson has.
Mrs. Jackson has 4 boxes of Christmas decorations, and each box contains 15 decorations. So, the total number of decorations is 4 * 15 = 60.
## Step 2: Calculate the number of decorations Mrs. Jackson used.
Mrs. Jackson used 35 decorations.
## Step 3: Calculate the number of decorations Mrs. Jackson gave to her neighbor.
To find out how many decorations she gave away, we subtract the number of decorations she used from the total number of decorations. So, the number of decorations given away is 60 - 35 = 25.
The final answer is: ####25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</si>
  <si>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</si>
  <si>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</si>
  <si>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 Step 1: Calculate the price per ounce of the larger box
To find the price per ounce of the larger box, we divide the cost of the larger box by its weight in ounces. The cost of the larger box is $4.80 and its weight is 30 ounces. So, the price per ounce of the larger box is $4.80 / 30 ounces = $0.16 per ounce.
## Step 2: Calculate the price per ounce of the smaller box
To find the price per ounce of the smaller box, we divide the cost of the smaller box by its weight in ounces. The cost of the smaller box is $3.40 and its weight is 20 ounces. So, the price per ounce of the smaller box is $3.40 / 20 ounces = $0.17 per ounce.
## Step 3: Compare the prices per ounce to determine the better value
We compare the price per ounce of the larger box ($0.16) to the price per ounce of the smaller box ($0.17) to determine which box has the better value. Since $0.16 is less than $0.17, the larger box has the better value.
## Step 4: Convert the price per ounce of the better value to cents
To convert the price per ounce of the better value to cents, we multiply the price per ounce by 100 (since 1 dollar = 100 cents). The price per ounce of the larger box in cents is $0.16 * 100 = 16 cents.
The final answer is: ####16</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</si>
  <si>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</si>
  <si>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</si>
  <si>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 Step 1: Calculate the total cost of the gummy bears
The cost of a pack of gummy bears is $2, and Jessica bought 10 packs. So, the total cost of the gummy bears is 10 * $2 = $20.
## Step 2: Calculate the total cost of the chocolate chips
The cost of a bag of chocolate chips is $5, and Jessica bought 20 bags. So, the total cost of the chocolate chips is 20 * $5 = $100.
## Step 3: Calculate the total cost of the gummy bears and chocolate chips
The total cost of the gummy bears and chocolate chips is $20 + $100 = $120.
## Step 4: Calculate the total cost of the chocolate bars
Jessica's total purchase was $150, and the gummy bears and chocolate chips cost $120. So, the total cost of the chocolate bars is $150 - $120 = $30.
## Step 5: Calculate the cost of one chocolate bar
Jessica bought 10 chocolate bars for $30. So, the cost of one chocolate bar is $30 / 10 = $3.
The final answer is: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</si>
  <si>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</si>
  <si>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</si>
  <si>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 188</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</si>
  <si>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</si>
  <si>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</si>
  <si>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 Step 1: Calculate the number of jars Clive needs to buy to have at least 80 olives.
To find out how many jars Clive needs, we divide the total number of olives he needs by the number of olives in one jar. 80 olives / 20 olives per jar = 4 jars.
## Step 2: Calculate the total cost of the jars Clive needs to buy.
Each jar costs $1.50, so the total cost for 4 jars is 4 jars * $1.50 per jar = $6.
## Step 3: Calculate the change Clive will have after buying the jars of olives he needs.
Clive has $10 to spend. After buying the olives for $6, his change will be $10 - $6 = $4.
The final answer is: $####4</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</si>
  <si>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</si>
  <si>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</si>
  <si>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 67</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</si>
  <si>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</si>
  <si>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</si>
  <si>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 245
Reasoning: 
James starts with 500 Legos. 
He uses half of them, so he has used 500 / 2 = 250 Legos. 
This means he has 500 - 250 = 250 Legos left. 
He puts all of these back in the box except for 5 missing pieces, so he puts 250 - 5 = 245 Legos in the box. 
Therefore, there are 245 Legos in the box at the end.</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</si>
  <si>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</si>
  <si>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</si>
  <si>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 Step 1: Determine the height of the plant with bone meal.
To find the height of the plant with bone meal, we need to calculate 125% of the height of the control plant. The control plant grows 36 inches high. So, 125% of 36 inches is 1.25 * 36 = 45 inches.
## Step 2: Determine the height of the plant with cow manure.
The cow manure plant grows to 200% of the height of the bone meal plant. Since the bone meal plant grows to 45 inches, we need to calculate 200% of 45 inches. This is 2 * 45 = 90 inches.
The final answer is: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</si>
  <si>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</si>
  <si>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</si>
  <si>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</si>
  <si>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</si>
  <si>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 Step 1: Calculate the area of the kitchen floor
To find the total number of tiles needed, we first calculate the area of the kitchen floor. The area can be calculated by multiplying the length and width of the kitchen. length = 72 inches, width = 48 inches. area = length * width = 72 * 48 = 3456 square inches.
## Step 2: Calculate the area of one tile
Each tile is 6 square inches. To find the area of one tile, we need to multiply the length of the tile by its width. Since the area of one tile is given as 6 square inches, and assuming the tile is square (since only the area is provided and no dimensions), we can find the side length of the tile. However, given the area directly, we can proceed with the area as is for calculations because we know the area of the kitchen and the area one tile covers.
## Step 3: Determine the number of tiles needed
To find out how many tiles Kimiko needs, we divide the total area of the kitchen floor by the area of one tile. tiles_needed = area_of_kitchen / area_of_one_tile = 3456 / 6 = 576.
The final answer is: ####576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</si>
  <si>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</si>
  <si>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</si>
  <si>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 Step 1: Calculate the width of the bathroom in feet
First, we need to calculate the width of the bathroom in feet. Since there are 10 tiles along the width and each tile is 6 inches, the total width in inches is 10 * 6 = 60 inches. To convert inches to feet, we divide by 12 since 1 foot = 12 inches. So, the width in feet is 60 / 12 = 5 feet.
## Step 2: Calculate the length of the bathroom in feet
Next, we calculate the length of the bathroom in feet. With 20 tiles along the length and each tile being 6 inches, the total length in inches is 20 * 6 = 120 inches. Converting inches to feet, we divide by 12. Thus, the length in feet is 120 / 12 = 10 feet.
## Step 3: Calculate the square footage of the bathroom
To find the square footage of the bathroom, we multiply the width by the length. So, the square footage is 5 feet * 10 feet = 50 square feet.
The final answer is: ####50</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</si>
  <si>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</si>
  <si>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</si>
  <si>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 Step 1: Calculate the total amount of candy
First, we need to calculate the total amount of candy that Hugh, Tommy, and Melany have. Hugh had 8 pounds, Tommy had 6 pounds, and Melany had 7 pounds.
## Step 2: Add up the total amount of candy
Total candy = 8 pounds (Hugh) + 6 pounds (Tommy) + 7 pounds (Melany) = 21 pounds.
## Step 3: Determine the number of people sharing the candy
There are 3 people sharing the candy: Hugh, Tommy, and Melany.
## Step 4: Calculate the amount of candy each person will have
To find out how much candy each person will have, we divide the total amount of candy by the number of people. candy_per_person = Total candy / Number of people = 21 pounds / 3 = 7 pounds.
The final answer is: ####7</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</si>
  <si>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</si>
  <si>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</si>
  <si>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Shelly has 10 $10 bills, which is 10 x $10 = $100. 
She has 4 fewer $5 bills, so she has 10 - 4 =</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</si>
  <si>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</si>
  <si>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</si>
  <si>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 Step 1: Calculate the total amount of honey produced by all hives.
James has 5 hives, and each hive produces 20 liters of honey. So, the total amount of honey produced is 5 * 20 = 100 liters.
## Step 2: Determine the amount of honey James needs jars for.
Since his friend is bringing jars for half the honey, James only needs jars for the other half. Half of 100 liters is 100 / 2 = 50 liters.
## Step 3: Calculate the number of jars James needs to buy.
Each jar can hold 0.5 liters of honey. To find out how many jars James needs for 50 liters of honey, we divide the total amount of honey he needs jars for by the capacity of each jar: 50 / 0.5 = 100 jars.
The final answer is: ####100</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</si>
  <si>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</si>
  <si>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</si>
  <si>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 Step 1: Calculate the cost per egg when buying individual eggs.
The cost per egg when buying individual eggs is given as 50 cents.
## Step 2: Calculate the cost per egg when buying a tray of eggs.
The price of a tray of 30 eggs is $12. To find the cost per egg, we divide the total cost by the number of eggs: $12 / 30 eggs = $0.40 per egg. Since we need the cost in cents, we convert dollars to cents: $0.40 * 100 cents/dollar = 40 cents per egg.
## Step 3: Calculate the savings per egg when buying a tray versus individual eggs.
To find the savings per egg, we subtract the cost per egg when buying a tray from the cost per egg when buying individual eggs: 50 cents - 40 cents = 10 cents saved per egg.
The final answer is: ####10</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</si>
  <si>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</si>
  <si>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</si>
  <si>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Megan initially had 1 dozen eggs from the store, which is 12 eggs. Her neighbor gave her another dozen, so she had 12 + 12 = 24 eggs. 
She used 2 eggs for an omelet and 4 eggs for a cake, so she used 2 + 4 = 6 eggs. 
After using 6 eggs, she had 24 - 6 = 18 eggs left. 
Megan gave her aunt half of her remaining eggs, which is 18 / 2 = 9 eggs. So Megan had 18 - 9 = 9 eggs left.
Megan plans to divide her remaining eggs equally for her next 3 meals. So she would have 9 / 3 = 3 eggs per meal.
The final answer is: ####3</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</si>
  <si>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</si>
  <si>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</si>
  <si>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 Step 1: Calculate the net increase of lions per month
The lions are born at the rate of 5 per month and die at the rate of 1 per month. So, the net increase of lions per month is 5 - 1 = 4.
## Step 2: Calculate the total increase of lions in a year
Since there are 12 months in a year, the total increase of lions in a year is 4 * 12 = 48.
## Step 3: Calculate the total number of lions after 1 year
Initially, there are 100 lions. With a total increase of 48 lions in a year, the total number of lions after 1 year will be 100 + 48 = 148.
The final answer is: ####148</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</si>
  <si>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</si>
  <si>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</si>
  <si>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 22</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</si>
  <si>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</si>
  <si>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</si>
  <si>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 Step 1: Calculate the number of small glasses polished.
Wendy polished 50 small glasses.
## Step 2: Calculate the number of large glasses polished.
She polished 10 more large glasses than small glasses, so the number of large glasses polished is 50 + 10 = 60.
## Step 3: Calculate the total number of glasses polished.
The total number of glasses polished is the sum of small and large glasses, which is 50 + 60 = 110.
The final answer is: ####110</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</si>
  <si>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</si>
  <si>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</si>
  <si>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</si>
  <si>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</si>
  <si>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</si>
  <si>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 Step 1: Determine the number of stamps Bert bought.
Bert bought 300 stamps.
## Step 2: Calculate the number of stamps Bert had before the purchase.
Before the purchase, Bert had only half the stamps he bought. So, he had 300 / 2 = 150 stamps.
## Step 3: Calculate the total number of stamps Bert has after the purchase.
To find the total number of stamps Bert has after the purchase, we need to add the number of stamps he bought to the number of stamps he had before the purchase. Total stamps = 300 (bought) + 150 (already had) = 450.
The final answer is: ####450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</si>
  <si>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</si>
  <si>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</si>
  <si>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 Step 1: Calculate the total amount one roommate pays for rent and utilities.
To find out how much one roommate pays for rent and utilities, we first need to add the total rent and utilities for the apartment and then divide by 2 since they split the costs equally. Total rent and utilities = $1100 (rent) + $114 (utilities) = $1214. One roommate's share of rent and utilities = $1214 / 2 = $607.
## Step 2: Determine the amount one roommate pays for groceries.
Since one roommate pays a total of $757 and $607 of that is for rent and utilities, the amount left over is for groceries. So, the amount one roommate pays for groceries = $757 (total paid) - $607 (rent and utilities) = $150.
## Step 3: Calculate the total grocery cost for the whole apartment.
Since the roommates split all costs equally, to find the total cost of groceries for the whole apartment, we need to multiply the amount one roommate pays for groceries by 2. Total grocery cost for the whole apartment = $150 * 2 = $300.
The final answer is: ####300</t>
  </si>
  <si>
    <t>A whole pizza was cut into 8 slices. Angeli and Marlon ate 3/2 slices each. How many slices of pizza are left?</t>
  </si>
  <si>
    <t>Angeli and Marlon ate a total of 3/2 x 2 = &lt;&lt;3/2*2=3&gt;&gt;3 slices of pizza.
Thus, 8 - 3 = &lt;&lt;8-3=5&gt;&gt;5 slices of pizza are left.
#### 5</t>
  </si>
  <si>
    <t>## Step 1: Calculate the total number of slices eaten by Angeli and Marlon.
Angeli and Marlon each ate 3/2 slices, so together they ate 2 * (3/2) = 3 slices.
## Step 2: Subtract the total number of slices eaten from the total number of slices.
The pizza was cut into 8 slices, and they ate 3 slices, so the number of slices left is 8 - 3 = 5.
The final answer is: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</si>
  <si>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</si>
  <si>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</si>
  <si>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 Step 1: Calculate the number of soccer balls.
Reynald bought 20 soccer balls.
## Step 2: Calculate the number of basketballs.
There were 5 more basketballs than soccer balls, so the number of basketballs is 20 + 5 = 25.
## Step 3: Calculate the number of tennis balls.
Twice the number of soccer balls were tennis balls, so the number of tennis balls is 2 * 20 = 40.
## Step 4: Calculate the number of baseballs.
There were 10 more baseballs than soccer balls, so the number of baseballs is 20 + 10 = 30.
## Step 5: Calculate the total number of soccer, basketball, tennis, and baseballs.
The total number of these balls is 20 + 25 + 40 + 30 = 115.
## Step 6: Calculate the number of volleyballs.
The total number of balls bought was 145, so the number of volleyballs is 145 - 115 = 30.
The final answer is: ####30</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</si>
  <si>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</si>
  <si>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</si>
  <si>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 Step 1: Define the variables
Let's denote the number of pencils Sabrina has as S and the number of pencils Justin has as J.
## Step 2: Translate the given information into equations
We know that Justin and Sabrina have 50 pencils combined, so J + S = 50.
We also know that Justin has 8 more than twice as many pencils as Sabrina, so J = 2S + 8.
## Step 3: Substitute the second equation into the first equation to solve for S
Substituting J = 2S + 8 into J + S = 50 gives us 2S + 8 + S = 50.
## Step 4: Solve for S
Combining like terms, we get 3S + 8 = 50.
Subtracting 8 from both sides gives us 3S = 42.
Dividing both sides by 3 gives us S = 14.
The final answer is: ####14</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</si>
  <si>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</si>
  <si>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</si>
  <si>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 Step 1: Calculate the cost of 2 pieces of Snickers.
2 pieces of Snickers cost 2 * $1.5 = $3.
## Step 2: Determine the cost of a pack of M&amp;M's.
Since a pack of M&amp;M's has the same cost as 2 Snickers, and 2 Snickers cost 2 * $1.5 = $3, a pack of M&amp;M's costs $3.
## Step 3: Calculate the total cost of 3 packs of M&amp;M's.
3 packs of M&amp;M's cost 3 * $3 = $9.
## Step 4: Calculate Julia's total bill.
Julia's total bill is the cost of 2 pieces of Snickers plus the cost of 3 packs of M&amp;M's, which is $3 + $9 = $12.
## Step 5: Calculate the total amount Julia paid with.
Julia gave the cashier 2 $10 bills, which equals 2 * $10 = $20.
## Step 6: Calculate Julia's change.
Julia's change is the amount she paid with minus her total bill, which is $20 - $12 = $8.
The final answer is: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</si>
  <si>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</si>
  <si>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</si>
  <si>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 Step 1: Calculate the total cost of the cement bags
The total cost of the cement bags can be found by multiplying the number of bags by the cost per bag. total_cement_cost = 500 bags * $10/bag = $5000.
## Step 2: Calculate the total tons of sand
Each lorry carries 10 tons of sand, and there are 20 lorries. total_sand_tons = 20 lorries * 10 tons/lorry = 200 tons.
## Step 3: Calculate the total cost of the sand
The total cost of the sand can be found by multiplying the total tons of sand by the cost per ton. total_sand_cost = 200 tons * $40/ton = $8000.
## Step 4: Calculate the total amount Mr. Zander paid for the construction materials
The total amount paid is the sum of the cost of the cement and the cost of the sand. total_cost = total_cement_cost + total_sand_cost = $5000 + $8000 = $13000.
The final answer is: ####13000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</si>
  <si>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</si>
  <si>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</si>
  <si>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 Step 1: Calculate the cost of the test tubes.
The laboratory spent two-thirds of the cost of the flasks on test tubes. Since the flasks cost $150, the cost of the test tubes is 2/3 * $150 = $100.
## Step 2: Calculate the cost of the safety gear.
The laboratory used half of the test tube cost on safety gear. Since the test tubes cost $100, the cost of the safety gear is 1/2 * $100 = $50.
## Step 3: Calculate the total cost of all the items.
The total cost is the sum of the costs of the flasks, test tubes, and safety gear. Total cost = $150 (flasks) + $100 (test tubes) + $50 (safety gear) = $300.
## Step 4: Calculate the remaining budget.
The laboratory had a $325 budget. After spending $300, the remaining budget is $325 - $300 = $25.
The final answer is: ####25</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</si>
  <si>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</si>
  <si>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</si>
  <si>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 240</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</si>
  <si>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</si>
  <si>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</si>
  <si>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 Step 1: Calculate the amount of rain the area can hold in inches
The area can hold the equivalent of 6 feet of rain. Since 1 foot equals 12 inches, the area can hold 6 * 12 = 72 inches of rain.
## Step 2: Calculate the amount of rain that drains out per day in inches
The area can drain out the equivalent of 3 inches of rain per day.
## Step 3: Calculate the amount of rain on the first day
It rained 10 inches on the first day.
## Step 4: Calculate the amount of rain on the second day
It rained twice as much as the first day, so 2 * 10 = 20 inches.
## Step 5: Calculate the amount of rain on the third day
It rained 50% more than the second day, which is 20 + (20 * 0.5) = 30 inches.
## Step 6: Calculate the total amount of rain collected before the fourth day
Total rain collected before the fourth day = 10 + 20 + 30 = 60 inches.
## Step 7: Calculate the total amount of rain drained out before the fourth day
The area drains 3 inches per day for 3 days, so total drained = 3 * 3 = 9 inches.
## Step 8: Calculate the net amount of rain collected before the fourth day
Net rain collected before the fourth day = Total rain collected before the fourth day - Total drained = 60 - 9 = 51 inches.
## Step 9: Calculate the minimum amount it rained on the fourth day to cause flooding
Since the area can hold 72 inches and 51 inches were already collected, the minimum amount it rained on the fourth day to cause flooding = 72 - 51 = 21 inches.
The final answer is: ####21</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</si>
  <si>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</si>
  <si>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</si>
  <si>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 Step 1: Calculate the total medical expenses that the couple needs to pay.
The couple decided to pay half of the medical expenses, which is $128 / 2 = $64.
## Step 2: Calculate the remaining salary of the house help after deducting her share of the medical expenses.
The house help's salary is $160, and half of the medical expenses ($64) will be deducted from it. So, her remaining salary will be $160 - $64 = $96.
## Step 3: Calculate the total expenses for the house help that the couple needs to split, including the remaining salary and the couple's share of the medical expenses.
The total expenses for the house help that the couple needs to split is $96 (remaining salary) + $64 (couple's share of medical expenses) = $160.
## Step 4: Calculate how much each person should pay to split the expenses equally.
To split the expenses equally, each person should pay $160 / 2 = $80.
## Step 5: Calculate how much the husband still needs to pay.
The husband already paid for the entire half of the hospital bill, which is $64. So, he still needs to pay $80 (his share of the total expenses) - $64 (what he already paid) = $16.
The final answer is: ####16</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</si>
  <si>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</si>
  <si>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</si>
  <si>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 Step 1: Calculate the total amount earned from the 30-kilogram rooster.
To find the amount earned from the 30-kilogram rooster, we multiply the weight of the rooster by the price per kilogram. So, 30 kilograms * $0.50 per kilogram = $15.
## Step 2: Calculate the total amount earned from the 40-kilogram rooster.
Similarly, for the 40-kilogram rooster, we multiply the weight by the price per kilogram. So, 40 kilograms * $0.50 per kilogram = $20.
## Step 3: Add the amounts earned from both roosters to find the total amount earned.
Now, we add the amounts earned from both roosters. $15 (from the 30-kilogram rooster) + $20 (from the 40-kilogram rooster) = $35.
The final answer is: $35</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</si>
  <si>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</si>
  <si>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</si>
  <si>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 Step 1: Determine the number of necklaces Boudreaux caught.
Boudreaux caught 12 necklaces.
## Step 2: Calculate the number of necklaces Rhonda caught.
Rhonda caught half as many necklaces as Boudreaux, so Rhonda caught 12 / 2 = 6 necklaces.
## Step 3: Calculate the number of necklaces Latch caught.
Latch caught four less than three times as many necklaces as Rhonda. Three times the number of necklaces Rhonda caught is 3 * 6 = 18. Four less than that is 18 - 4 = 14.
The final answer is: ####14</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</si>
  <si>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</si>
  <si>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</si>
  <si>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 Step 1: Calculate the total amount of gold in the smaller bags.
The smaller bags have half as much gold as the treasure chest, which contains 100 gold coins. So, each smaller bag has 100 / 2 = 50 gold coins.
## Step 2: Calculate the total amount of gold found.
The total amount of gold found is the sum of the gold in the treasure chest and the gold in the two smaller bags. Total gold = 100 (from the chest) + 50 (from the first smaller bag) + 50 (from the second smaller bag) = 200 gold coins.
## Step 3: Calculate the amount of gold found per hour.
To find the amount of gold found per hour, we divide the total amount of gold found by the number of hours spent scuba diving. Gold per hour = Total gold / Total hours = 200 / 8 = 25.
The final answer is: ####25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</si>
  <si>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</si>
  <si>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</si>
  <si>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 Step 1: Determine the number of cups for each type of coffee
Since half of the guests like weak coffee and the other half like strong coffee, and Taylor makes 12 cups of both weak and strong coffee, this means he makes 12 cups of weak coffee and 12 cups of strong coffee.
## Step 2: Calculate the amount of coffee needed for weak coffee
For weak coffee, Taylor uses 1 tablespoon of coffee per cup of water. Since he makes 12 cups of weak coffee, he will need 12 * 1 = 12 tablespoons of coffee for the weak coffee.
## Step 3: Calculate the amount of coffee needed for strong coffee
For strong coffee, Taylor doubles the amount used for weak coffee, so he uses 2 tablespoons of coffee per cup of water. Since he makes 12 cups of strong coffee, he will need 12 * 2 = 24 tablespoons of coffee for the strong coffee.
## Step 4: Calculate the total amount of coffee needed
To find the total amount of coffee needed, we add the amount needed for weak coffee and the amount needed for strong coffee. Total = 12 (weak) + 24 (strong) = 36 tablespoons.
The final answer is: ####36</t>
  </si>
  <si>
    <t>In 10 years, Terry will be 4 times the age that Nora is currently. If Nora is currently 10 years old, how old is Terry now?</t>
  </si>
  <si>
    <t>Terry will be 4*10=&lt;&lt;4*10=40&gt;&gt;40 years old in 10 years
Currently, Terry is 40-10 = &lt;&lt;40-10=30&gt;&gt;30 years old.
#### 30</t>
  </si>
  <si>
    <t>## Step 1: Determine Nora's current age
Nora is currently 10 years old.
## Step 2: Calculate Terry's age in 10 years
In 10 years, Terry will be 4 times Nora's current age. Since Nora is 10 years old now, Terry will be 4 * 10 = 40 years old in 10 years.
## Step 3: Calculate Terry's current age
To find Terry's current age, subtract 10 years from Terry's age in 10 years. So, Terry's current age is 40 - 10 = 30 years old.
The final answer is: ####30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</si>
  <si>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</si>
  <si>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</si>
  <si>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 Step 1: Convert the total flight time to minutes
First, we need to convert the total flight time into minutes to make it easier to calculate. The flight is 11 hours and 20 minutes long. Since 1 hour equals 60 minutes, 11 hours equals 11 * 60 = 660 minutes. Adding the 20 minutes, the total flight time in minutes is 660 + 20 = 680 minutes.
## Step 2: Calculate the total time spent on activities
Aren spends 2 hours reading, which is 2 * 60 = 120 minutes. He spends 4 hours watching movies, which is 4 * 60 = 240 minutes. He spends 30 minutes eating dinner and 40 minutes listening to the radio. Lastly, he spends 1 hour and 10 minutes playing games, which is 1 * 60 + 10 = 70 minutes. The total time spent on activities is 120 + 240 + 30 + 40 + 70 = 500 minutes.
## Step 3: Calculate the time left for a nap
To find out how many minutes Aren has left to take a nap, we subtract the total time spent on activities from the total flight time. So, 680 minutes (total flight time) - 500 minutes (time spent on activities) = 180 minutes.
## Step 4: Convert the time left for a nap back to hours
Since we need the answer in hours, we convert 180 minutes back into hours. There are 60 minutes in an hour, so 180 minutes is 180 / 60 = 3 hours.
The final answer is: ####3</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</si>
  <si>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</si>
  <si>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</si>
  <si>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 Step 1: Calculate the total amount Gerald spends on baseball supplies for the season.
Gerald spends $100 a month on baseball supplies, and his season is 4 months long. So, the total amount he spends is $100 * 4 = $400.
## Step 2: Determine the number of months Gerald has to save up for the baseball season.
Since Gerald's baseball season is 4 months long, and there are 12 months in a year, he has 12 - 4 = 8 months to save up.
## Step 3: Calculate the total amount Gerald needs to save each month.
To save $400 in 8 months, Gerald needs to save $400 / 8 = $50 per month.
## Step 4: Calculate the number of chores Gerald needs to do to save $50 in a month.
Gerald charges $10 for each chore. To save $50, he needs to do $50 / $10 = 5 chores per month.
The final answer is: ####5</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</si>
  <si>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</si>
  <si>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</si>
  <si>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To find out how many miles Macy has left to run, we first need to calculate how many miles she has already run in 6 days. 
Macy runs 3 miles per day. 
In 6 days, she runs 3 * 6 = 18 miles.
Her goal is to run 24 miles per week. 
So, she has 24 - 18 = 6 miles left to run.
The final answer is: ####6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</si>
  <si>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</si>
  <si>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</si>
  <si>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 Step 1: Calculate the number of students who scored 100%
To find the number of students who scored 100%, we multiply the total number of students by 2/5. total_students = 80, students_scored_100 = total_students * (2/5) = 80 * (2/5) = 32.
## Step 2: Calculate the number of remaining students who didn't score 100%
The remaining students are those who did not score 100%. remaining_students = total_students - students_scored_100 = 80 - 32 = 48.
## Step 3: Calculate the number of students who scored over 80% from the remaining students
50% of the remaining students managed to score over 80%. students_scored_over_80 = remaining_students * 0.5 = 48 * 0.5 = 24.
## Step 4: Calculate the number of students who failed the exam
The students who failed are those who did not score 100% and did not score over 80%. students_failed = remaining_students - students_scored_over_80 = 48 - 24 = 24.
The final answer is: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</si>
  <si>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</si>
  <si>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</si>
  <si>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 Step 1: Calculate the total number of oranges in the crates.
To find the total number of oranges, we multiply the number of crates by the number of oranges in each crate: 12 crates * 150 oranges/crate = 1800 oranges.
## Step 2: Calculate the total number of nectarines in the boxes.
To find the total number of nectarines, we multiply the number of boxes by the number of nectarines in each box: 16 boxes * 30 nectarines/box = 480 nectarines.
## Step 3: Add the total number of oranges and nectarines to find the total number of pieces of fruit.
Total fruit = total oranges + total nectarines = 1800 + 480 = 2280.
The final answer is: ####2280</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</si>
  <si>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</si>
  <si>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</si>
  <si>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 Step 1: Calculate Lee's monthly salary
To find out how much Lee earns per month, we divide his annual salary by 12. So, $60,000 / 12 = $5,000 per month.
## Step 2: Determine the cost of the ring
According to the adage, Lee should spend two months' salary on the ring. Therefore, the cost of the ring should be 2 * $5,000 = $10,000.
## Step 3: Calculate how many months it will take Lee to save for the ring
Since Lee can save $1,000 per month, we need to find out how many months it will take him to save $10,000. To do this, we divide the cost of the ring by the amount he can save per month: $10,000 / $1,000 = 10 months.
The final answer is: ####10</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</si>
  <si>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</si>
  <si>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</si>
  <si>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 Step 1: Calculate the total number of records each case can hold.
Each case has 3 shelves, and each shelf can hold 20 records. So, the total number of records one case can hold is 3 * 20 = 60 records.
## Step 2: Calculate the total number of records all cases can hold.
Since Jerry has 4 cases, and each case can hold 60 records, the total number of records all cases can hold is 4 * 60 = 240 records.
## Step 3: Calculate the actual number of records on the shelves.
The shelves are 60% full, so the actual number of records on the shelves is 60% of 240 records. This is calculated as 0.6 * 240 = 144 records.
## Step 4: Calculate the total number of ridges on all the records.
Each record has 60 ridges, and there are 144 records. So, the total number of ridges is 60 * 144 = 8640 ridges.
The final answer is: ####8640</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</si>
  <si>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</si>
  <si>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</si>
  <si>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 Step 1: Calculate the total number of nails the cat has.
The cat has 4 feet, and each foot has 4 claws, so the total number of nails is 4 * 4 = 16.
## Step 2: Calculate the time it takes to clip all the cat's nails.
It takes 10 seconds to clip each nail, and there are 16 nails, so the total time for clipping nails is 10 * 16 = 160 seconds.
## Step 3: Calculate the time it takes to clean the cat's ears.
It takes 90 seconds to clean each ear, and the cat has 2 ears, so the total time for cleaning ears is 90 * 2 = 180 seconds.
## Step 4: Calculate the time it takes to shampoo the cat.
It takes 5 minutes to shampoo the cat. Since 1 minute = 60 seconds, 5 minutes = 5 * 60 = 300 seconds.
## Step 5: Calculate the total time it takes to groom the cat.
The total time is the sum of the time for clipping nails, cleaning ears, and shampooing: 160 + 180 + 300 = 640 seconds.
The final answer is: $####640$</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</si>
  <si>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</si>
  <si>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</si>
  <si>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 Step 1: Calculate Draymond's points
Draymond earned 12 points.
## Step 2: Calculate Curry's points
Curry earned twice the points as Draymond, so Curry earned 2 * 12 = 24 points.
## Step 3: Calculate Kelly's points
Kelly earned 9 points.
## Step 4: Calculate Durant's points
Durant earned twice the points as Kelly, so Durant earned 2 * 9 = 18 points.
## Step 5: Calculate Klay's points
Klay earned half the points as Draymond, so Klay earned 12 / 2 = 6 points.
## Step 6: Calculate the total points earned by the Golden State Team
Total points = Draymond's points + Curry's points + Kelly's points + Durant's points + Klay's points
Total points = 12 + 24 + 9 + 18 + 6
Total points = 69
The final answer is: ####69</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</si>
  <si>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</si>
  <si>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</si>
  <si>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 Step 1: Calculate the total number of pieces in both puzzles
James buys 2 puzzles, each with 2000 pieces. So, the total number of pieces is 2 * 2000 = 4000 pieces.
## Step 2: Determine the rate at which James can complete the puzzle pieces
James can complete 100 pieces every 10 minutes.
## Step 3: Calculate the total time required to complete both puzzles
To find the total time required, we divide the total number of pieces by the rate at which James completes the pieces and then multiply by the time it takes to complete that many pieces. So, the total time is (4000 / 100) * 10 minutes.
## Step 4: Perform the calculation
(4000 / 100) = 40, and 40 * 10 = 400 minutes.
The final answer is: ####400</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</si>
  <si>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</si>
  <si>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</si>
  <si>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 Step 1: Calculate the total number of male students
To find the total number of male students, we need to add the number of males from each class. The first class has 17 males, the second class has 14 males, and the third class has 15 males. So, the total number of male students is 17 + 14 + 15 = 46.
## Step 2: Calculate the total number of female students
To find the total number of female students, we need to add the number of females from each class. The first class has 13 females, the second class has 18 females, and the third class has 17 females. So, the total number of female students is 13 + 18 + 17 = 48.
## Step 3: Determine the number of students unable to partner with a student of the opposite gender
Since the goal is for each male student to partner with a female student, we need to find the difference between the total number of male students and the total number of female students. The difference between the total number of male students (46) and the total number of female students (48) is 2. This means that 2 female students will be unable to partner with a male student.
The final answer is: $\boxed{2}$</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</si>
  <si>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</si>
  <si>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</si>
  <si>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 Step 1: Calculate the total number of ripe apples
First, we need to find out how many of the picked apples are ripe. Since Isabel and her mom picked 34 apples in total and 6 of them are not ripe, the number of ripe apples can be calculated by subtracting the number of unripe apples from the total number of apples. So, the number of ripe apples = total apples - unripe apples = 34 - 6 = 28.
## Step 2: Determine the number of pies that can be made
Each apple pie requires 4 apples. To find out how many pies can be made, we divide the total number of ripe apples by the number of apples needed for one pie. So, the number of pies = ripe apples / apples per pie = 28 / 4 = 7.
The final answer is: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</si>
  <si>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</si>
  <si>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</si>
  <si>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 Step 1: Calculate the number of aprons Heather sewed today.
Heather sewed three times as many aprons as she had already sewn, which is 3 * 13 = 39 aprons.
## Step 2: Calculate the total number of aprons sewn so far.
Heather had already sewn 13 aprons and today she sewed 39 aprons, so the total number of aprons sewn so far is 13 + 39 = 52 aprons.
## Step 3: Calculate the number of aprons still needed.
Heather needs to sew 150 aprons in total, and she has already sewn 52 aprons, so the number of aprons still needed is 150 - 52 = 98 aprons.
## Step 4: Calculate the number of aprons Heather should sew tomorrow.
Heather wants to sew half of the remaining number of aprons needed, which is 98 / 2 = 49 aprons.
The final answer is: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</si>
  <si>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</si>
  <si>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</si>
  <si>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 Step 1: Calculate the height of the first tree
The height of the first tree is given as 1000 feet.
## Step 2: Calculate the height of the two trees that were half as tall as the first tree
Since these trees are half as tall as the first tree, their height is 1000 / 2 = 500 feet each.
## Step 3: Calculate the height of the last tree
The last tree is 200 feet taller than the first tree, so its height is 1000 + 200 = 1200 feet.
## Step 4: Calculate the total height of all the trees
The total height is the sum of the heights of all the trees: 1000 + 500 + 500 + 1200 = 3200 feet.
## Step 5: Calculate the average height of the trees
To find the average height, we divide the total height by the number of trees, which is 4. Average height = 3200 / 4 = 800 feet.
The final answer is: ####800</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</si>
  <si>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</si>
  <si>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</si>
  <si>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 Step 1: Determine the total number of matchsticks used for the houses.
Michael created 30 matchstick houses, and each house uses 10 matchsticks. So, the total number of matchsticks used is 30 * 10 = 300.
## Step 2: Calculate the original number of matchsticks Michael intended to use.
Since Michael used all the matchsticks he intended to, and this number is half of his original pile, the 300 matchsticks used represent half of his original amount.
## Step 3: Calculate the original total number of matchsticks Michael had.
If 300 matchsticks are half of the original amount, then the original amount can be found by doubling the 300 matchsticks. So, the original number of matchsticks = 300 * 2 = 600.
The final answer is: ####600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</si>
  <si>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</si>
  <si>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</si>
  <si>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 Step 1: Calculate the number of oranges given to the brother
The boy starts with 12 oranges and gives one-third of them to his brother. One-third of 12 is 12 / 3 = 4 oranges.
## Step 2: Calculate the remainder after giving oranges to the brother
After giving 4 oranges to his brother, the boy has 12 - 4 = 8 oranges left.
## Step 3: Calculate the number of oranges given to the friend
The boy then gives one-fourth of the remainder (8 oranges) to his friend. One-fourth of 8 is 8 / 4 = 2 oranges.
The final answer is: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</si>
  <si>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</si>
  <si>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</si>
  <si>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</si>
  <si>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</si>
  <si>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 8 people need 8 x 20 = 160 slices of fried green tomatoes. 
## Since each tomato makes 8 slices, Thelma will need 160 / 8 = 20 tomatoes.
The final answer is: ####20</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</si>
  <si>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</si>
  <si>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</si>
  <si>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 Step 1: Calculate the number of tabs closed in the first round
Jose started with 400 tabs and closed 1/4 of them. So, the number of tabs closed in the first round is 400 * (1/4) = 100 tabs.
## Step 2: Calculate the number of tabs remaining after the first round
After closing 100 tabs, Jose had 400 - 100 = 300 tabs remaining.
## Step 3: Calculate the number of tabs closed in the second round
Jose then closed 2/5 of the remaining 300 tabs. So, the number of tabs closed in the second round is 300 * (2/5) = 120 tabs.
## Step 4: Calculate the number of tabs remaining after the second round
After closing 120 tabs, Jose had 300 - 120 = 180 tabs remaining.
## Step 5: Calculate the number of tabs closed in the third round
Jose then closed half of the remaining 180 tabs. So, the number of tabs closed in the third round is 180 * (1/2) = 90 tabs.
## Step 6: Calculate the number of tabs remaining after the third round
After closing 90 tabs, Jose had 180 - 90 = 90 tabs remaining.
The final answer is: ####90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</si>
  <si>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</si>
  <si>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</si>
  <si>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To determine the total number of pairs of leggings Haleigh needs, we must first calculate the total number of legs of her pets. 
Dogs have 4 legs and cats have 4 legs. 
4 dogs * 4 legs = 16 legs
3 cats * 4 legs = 12 legs
Total legs = 16 legs + 12 legs = 28 legs
Since each pair of leggings covers 2 legs, we divide the total number of legs by 2.
28 legs / 2 = 14 pairs of leggings
The final answer is: ####14</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</si>
  <si>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</si>
  <si>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</si>
  <si>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 Step 1: Determine Fred's salary five months ago.
Fred's salary five months ago was $1000.
## Step 2: Calculate Mike's salary five months ago.
Since Mike earned 10 times more money than Fred five months ago, Mike's salary then was 10 * $1000 = $10,000.
## Step 3: Calculate Mike's salary increase.
Mike's salary has increased by 40 percent, so the increase amount is 40% of $10,000, which is 0.4 * $10,000 = $4,000.
## Step 4: Calculate Mike's current salary.
To find Mike's current salary, add the increase to his previous salary: $10,000 + $4,000 = $14,000.
The final answer is: ####14000</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</si>
  <si>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</si>
  <si>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</si>
  <si>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 Step 1: Determine the points of the winning team in the first quarter.
The losing team had 10 points in the first quarter. Since the winning team had double the points of the losing team, the winning team had 10 * 2 = 20 points.
## Step 2: Calculate the points of the winning team in the second quarter.
At the end of the second quarter, the winning team had 10 more points than it started with. So, the winning team had 20 + 10 = 30 points.
## Step 3: Calculate the points of the winning team in the third quarter.
At the end of the third quarter, the winning team had 20 more points than the number it had in the second quarter. So, the winning team had 30 + 20 = 50 points.
## Step 4: Calculate the points scored by the winning team in the fourth quarter.
The total points the winning team scored in the game was 80. To find the points scored in the fourth quarter, subtract the points at the end of the third quarter from the total points. So, 80 - 50 = 30 points.
The final answer is: ####30</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</si>
  <si>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</si>
  <si>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</si>
  <si>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 Step 1: Calculate the combined rate at which Hannah and her son can cut the duct tape strands.
Hannah can cut 8 strands per minute, and her son can cut 3 strands per minute. So, their combined rate is 8 + 3 = 11 strands per minute.
## Step 2: Determine the total number of strands that need to be cut to free the younger son.
There are 22 strands of duct tape that need to be cut.
## Step 3: Calculate the time it will take for Hannah and her son to cut all the strands.
To find the time, we divide the total number of strands by their combined rate. Time = Total strands / Combined rate = 22 / 11 = 2 minutes.
The final answer is: ####2</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</si>
  <si>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</si>
  <si>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</si>
  <si>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 Step 1: Calculate the total hours worked on weekdays
Mitch works 5 hours every day from Monday to Friday, which is a total of 5 hours * 5 days = 25 hours.
## Step 2: Calculate the total hours worked on weekends
Mitch works 3 hours every Saturday and Sunday, which is a total of 3 hours * 2 days = 6 hours.
## Step 3: Calculate the total earnings on weekdays
Mitch earns $3 per hour, so her total earnings on weekdays are 25 hours * $3 per hour = $75.
## Step 4: Calculate the total earnings on weekends
Mitch earns double on weekends, which means she earns $3 * 2 = $6 per hour. Her total earnings on weekends are 6 hours * $6 per hour = $36.
## Step 5: Calculate the total earnings per week
The total earnings per week are the sum of the earnings on weekdays and weekends, which is $75 + $36 = $111.
The final answer is: ####111</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</si>
  <si>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</si>
  <si>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</si>
  <si>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 10
The chef puts 10 eggs in the fridge, so he has 60 - 10 = 50 eggs left to make cakes. Since he uses 5 eggs to make one cake, the number of cakes he can make is 50 / 5 = 10.</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</si>
  <si>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</si>
  <si>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</si>
  <si>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 Step 1: Calculate the total number of classes Maddy needs to graduate.
To find the total number of classes Maddy needs, we divide the total credits required by the credits per class. total_credits = 120, credits_per_class = 3. total_classes = total_credits / credits_per_class = 120 / 3 = 40.
## Step 2: Calculate the number of classes Maddy needs to take per semester.
To find out how many classes Maddy needs per semester, we divide the total number of classes by the number of semesters. total_classes = 40, semesters = 8. classes_per_semester = total_classes / semesters = 40 / 8 = 5.
The final answer is: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</si>
  <si>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</si>
  <si>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</si>
  <si>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 Step 1: Calculate the amount allocated for the kitchen
To find out how much Ben will spend on the kitchen, we need to calculate 1/22 of $1496. This is done by multiplying 1496 by 1/22.
## Step 2: Perform the calculation for the kitchen allocation
kitchen_allocation = 1496 * (1/22) = 68.
## Step 3: Calculate the amount allocated for holidays
Next, we calculate 1/4 of $1496 for holidays. This is done by multiplying 1496 by 1/4.
## Step 4: Perform the calculation for the holiday allocation
holiday_allocation = 1496 * (1/4) = 374.
## Step 5: Calculate the amount allocated for Christmas gifts
Then, we calculate 1/8 of $1496 for Christmas gifts. This is done by multiplying 1496 by 1/8.
## Step 6: Perform the calculation for the Christmas gifts allocation
christmas_allocation = 1496 * (1/8) = 187.
## Step 7: Calculate the total amount allocated
To find the total amount spent, we add the allocations for the kitchen, holidays, and Christmas gifts. total_spent = kitchen_allocation + holiday_allocation + christmas_allocation.
## Step 8: Perform the calculation for the total amount allocated
total_spent = 68 + 374 + 187 = 629.
## Step 9: Calculate the amount of money left
Finally, to find out how much money Ben will have left, we subtract the total amount spent from the bonus amount. money_left = 1496 - total_spent.
## Step 10: Perform the calculation for the money left
money_left = 1496 - 629 = 867.
The final answer is: ####867</t>
  </si>
  <si>
    <t>John buys 20 candy bars.  His brother Dave pays for 6 of them.  If each candy bar costs $1.50, how much did John pay?</t>
  </si>
  <si>
    <t>He paid for 20-6=&lt;&lt;20-6=14&gt;&gt;14 candy bars
So he paid 14*1.5=$&lt;&lt;14*1.5=21&gt;&gt;21
#### 21</t>
  </si>
  <si>
    <t>## 21.00</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</si>
  <si>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</si>
  <si>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</si>
  <si>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 Step 1: Calculate the total number of cards given to the students
To find out how many cards Joseph had at first, we need to calculate the total number of cards he gave to his students. Since he gave 23 cards to each of his 15 students, the total number of cards given is 23 * 15.
## Step 2: Calculate the total number of cards given
Total cards given = 23 * 15 = 345.
## Step 3: Add the remaining cards to find the initial total
Joseph had 12 cards left after giving out 345 cards. To find the initial total, we need to add the cards he gave away to the cards he had left. Initial total = 345 + 12.
## Step 4: Calculate the initial total
Initial total = 345 + 12 = 357.
The final answer is: ####357</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</si>
  <si>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</si>
  <si>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</si>
  <si>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 Step 1: Calculate the number of occupied units in the building.
To find the number of occupied units, we multiply the total number of units by the fraction that represents the occupancy rate. Total units = 100, occupancy rate = 3/4. Occupied units = 100 * (3/4) = 75.
## Step 2: Calculate the total rent collected per month.
Each resident pays $400 per month. With 75 occupied units, the total rent collected per month is 75 * $400 = $30,000.
## Step 3: Calculate the total rent collected in a year.
Since there are 12 months in a year, we multiply the monthly rent by 12 to find the annual rent. Annual rent = $30,000 * 12 = $360,000.
The final answer is: ####360,000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</si>
  <si>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</si>
  <si>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</si>
  <si>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 Step 1: Calculate the total cost of the coat and the shoes.
The total cost of the coat and the shoes is $40 + $30 = $70.
## Step 2: Subtract the cost of the coat and shoes from the total cost to find the cost of the two pairs of jeans.
The cost of the two pairs of jeans is $110 - $70 = $40.
## Step 3: Divide the cost of the two pairs of jeans by 2 to find the cost of one pair of jeans.
The cost of one pair of jeans is $40 / 2 = $20.
The final answer is: ####20</t>
  </si>
  <si>
    <t>Super Clean Car Wash Company cleans 80 cars per day. They make $5 per car washed. How much money will they make in 5 days?</t>
  </si>
  <si>
    <t>Each day they will make 80 × $5 = $&lt;&lt;80*5=400&gt;&gt;400.
They will make $400 × 5 = $&lt;&lt;400*5=2000&gt;&gt;2000 in 5 days.
#### 2000</t>
  </si>
  <si>
    <t>#### 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</si>
  <si>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</si>
  <si>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</si>
  <si>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 Step 1: Calculate the number of seconds in six minutes
There are 60 seconds in one minute, so there are 60 * 6 = 360 seconds in six minutes.
## Step 2: Calculate the number of pencils the hand-crank sharpener can sharpen in six minutes
The hand-crank sharpener can sharpen one pencil every 45 seconds. So, in 360 seconds, it can sharpen 360 / 45 = 8 pencils.
## Step 3: Calculate the number of pencils the electric sharpener can sharpen in six minutes
The electric sharpener can sharpen one pencil every 20 seconds. So, in 360 seconds, it can sharpen 360 / 20 = 18 pencils.
## Step 4: Calculate the difference in the number of pencils sharpened by the electric and hand-crank sharpeners
The difference in the number of pencils sharpened is 18 - 8 = 10 pencils.
The final answer is: ####10</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</si>
  <si>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</si>
  <si>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</si>
  <si>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 Step 1: Determine the original amount of candies Shelly had.
Shelly had eaten 20 candies, and there were 50 left. So, the original amount of candies she had is 50 (left) + 20 (eaten) = 70 candies.
## Step 2: Calculate the amount of candies Shelly's friend brought.
Shelly's friend brought twice as much candy as Shelly originally had. Since Shelly originally had 70 candies, her friend brought 2 * 70 = 140 candies.
## Step 3: Calculate the total amount of candies after Shelly's friend added hers to the bowl.
Shelly had 50 candies left, and her friend added 140 candies. So, the total amount of candies is 50 + 140 = 190 candies.
## Step 4: Determine the amount of candies each person gets after dividing them equally.
They decide to divide the 190 candies equally between the two of them. So, each person gets 190 / 2 = 95 candies.
## Step 5: Calculate the amount of candies Shelly's friend has after eating 10 of her candies.
Shelly's friend had 95 candies and ate 10. So, she has 95 - 10 = 85 candies left.
The final answer is: ####85</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</si>
  <si>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</si>
  <si>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</si>
  <si>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 Step 1: Calculate the total cost of T-shirts before discount
The cost of one T-shirt is $20. Eugene buys four T-shirts, so the total cost for T-shirts is 4 * $20 = $80.
## Step 2: Calculate the total cost of pants before discount
The cost of one pair of pants is $80. Eugene buys three pairs of pants, so the total cost for pants is 3 * $80 = $240.
## Step 3: Calculate the total cost of shoes before discount
The cost of one pair of shoes is $150. Eugene buys two pairs of shoes, so the total cost for shoes is 2 * $150 = $300.
## Step 4: Calculate the total cost of all items before discount
The total cost before discount is the sum of the costs of T-shirts, pants, and shoes: $80 + $240 + $300 = $620.
## Step 5: Calculate the total discount
All items get a 10% discount. The total discount is 10% of $620, which is 0.10 * $620 = $62.
## Step 6: Calculate the total cost after discount
The total cost after discount is the total cost before discount minus the discount amount: $620 - $62 = $558.
The final answer is: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</si>
  <si>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</si>
  <si>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</si>
  <si>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 35</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</si>
  <si>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</si>
  <si>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</si>
  <si>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 Step 1: Calculate the proportion of individuals who like football
First, we need to find out the proportion of individuals who like football out of the total. Given that 24 out of every 60 individuals like football, we calculate this proportion as 24/60.
## Step 2: Simplify the proportion
The proportion of individuals who like football can be simplified. 24 and 60 can both be divided by 12, which gives us 2/5.
## Step 3: Calculate the number of individuals who like football in the group of 250
To find out how many individuals like football in a group of 250, we multiply the proportion of individuals who like football (2/5) by the total number of individuals in the group (250). This gives us (2/5) * 250 = 100.
## Step 4: Calculate the number of individuals who play football
Given that 50% of those who like football play it, we need to find 50% of the number of individuals who like football. 50% of 100 is 0.5 * 100 = 50.
The final answer is: ####50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</si>
  <si>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</si>
  <si>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</si>
  <si>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</si>
  <si>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</si>
  <si>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 Step 1: Calculate the total amount of money Monica saved in one cycle of filling the moneybox.
In one cycle, Monica saves $15 per week for 60 weeks. So, the total amount saved in one cycle is $15 * 60 = $900.
## Step 2: Determine the total number of cycles Monica repeated the saving process.
Monica repeated the process of saving money and taking it to the bank 5 times.
## Step 3: Calculate the total amount of money Monica took to the bank after repeating the process 5 times.
To find the total amount of money Monica took to the bank, we multiply the amount saved in one cycle by the number of cycles. Total amount = $900 * 5 = $4500.
The final answer is: ####4500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</si>
  <si>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</si>
  <si>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</si>
  <si>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 Step 1: Calculate the total number of push-ups Bryan planned to do.
Bryan planned to do 3 sets of 15 push-ups each, so the total planned is 3 * 15 = 45 push-ups.
## Step 2: Calculate the actual number of push-ups Bryan did in the third set.
In the third set, Bryan did 5 fewer push-ups than planned, so he did 15 - 5 = 10 push-ups in the third set.
## Step 3: Calculate the total number of push-ups Bryan actually did.
Bryan completed the first two sets as planned, which is 2 * 15 = 30 push-ups. In the third set, he did 10 push-ups. So, the total number of push-ups he actually did is 30 + 10 = 40 push-ups.
The final answer is: ####40</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</si>
  <si>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</si>
  <si>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</si>
  <si>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 Step 1: Calculate the total amount earned from mowing lawns
Lee charges $33 for mowing one lawn. He mowed 16 lawns, so the total amount earned from mowing lawns is 33 * 16 = $528.
## Step 2: Calculate the total amount earned from tips
Three customers each gave him a $10 tip, so the total amount earned from tips is 3 * 10 = $30.
## Step 3: Calculate the total amount earned
The total amount earned is the sum of the amount earned from mowing lawns and the amount earned from tips. Total amount earned = 528 + 30 = $558.
The final answer is: ####558</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</si>
  <si>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</si>
  <si>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</si>
  <si>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 Step 1: Calculate the total number of fruits in the first three baskets.
The first three baskets contain 9 apples, 15 oranges, and 14 bananas each. So, the total number of fruits in each of the first three baskets is 9 + 15 + 14 = 38.
## Step 2: Calculate the total number of fruits in the first three baskets combined.
Since there are three baskets with the same amount of fruits, the total number of fruits in these baskets is 3 * 38 = 114.
## Step 3: Calculate the number of fruits in the fourth basket.
The fourth basket contains 2 less of each fruit than the first three baskets. So, it contains 9 - 2 = 7 apples, 15 - 2 = 13 oranges, and 14 - 2 = 12 bananas. The total number of fruits in the fourth basket is 7 + 13 + 12 = 32.
## Step 4: Calculate the total number of fruits in all four baskets.
To find the total number of fruits, we add the total number of fruits in the first three baskets to the number of fruits in the fourth basket: 114 + 32 = 146.
The final answer is: ####146</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</si>
  <si>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</si>
  <si>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</si>
  <si>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 Step 1: Calculate Robert's commission from his monthly sales.
Robert's commission is 10% of his total sales. Total sales were $23600, so his commission is 0.10 * $23600 = $2360.
## Step 2: Calculate Robert's total earnings for the month.
Robert's total earnings include his basic salary and his commission. Total earnings = basic salary + commission = $1250 + $2360 = $3610.
## Step 3: Calculate the amount Robert allocated to savings.
Robert allocated 20% of his total earnings to savings. Amount allocated to savings = 0.20 * $3610 = $722.
## Step 4: Calculate Robert's monthly expenses.
Robert's monthly expenses are the remainder of his total earnings after allocating to savings. Monthly expenses = total earnings - amount allocated to savings = $3610 - $722 = $2888.
The final answer is: ####2888</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</si>
  <si>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</si>
  <si>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</si>
  <si>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 Step 1: Determine the number of male members in the club.
Since there are two times as many males as females, and there are 6 female members, the number of male members is 2 * 6 = 12.
## Step 2: Calculate the total number of members in the club.
To find the total number of members, we need to add the number of male members and the number of female members. total_members = 12 (male members) + 6 (female members) = 18.
The final answer is: ####18</t>
  </si>
  <si>
    <t>Justin can run 2 blocks in 1.5 minutes. If he is 8 blocks from home, in how many minutes can he run home?</t>
  </si>
  <si>
    <t>There are 8/2 = &lt;&lt;8/2=4&gt;&gt;4 sets of two blocks that Justin can run.
Thus, he can run home for 4 x 1.5 = &lt;&lt;4*1.5=6&gt;&gt;6 minutes.
#### 6</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</si>
  <si>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</si>
  <si>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</si>
  <si>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 Step 1: Define the relationship between the number of swordfish and pufferfish.
Let's denote the number of pufferfish as P and the number of swordfish as S. We are told there are five times as many swordfish as pufferfish, so S = 5P.
## Step 2: Express the total number of fish in terms of P and S.
The total number of fish is given as 90, which means P + S = 90.
## Step 3: Substitute the relationship between S and P into the equation for the total number of fish.
Substituting S = 5P from Step 1 into the equation from Step 2 gives us P + 5P = 90, which simplifies to 6P = 90.
## Step 4: Solve for P to find the number of pufferfish.
Dividing both sides of the equation 6P = 90 by 6 gives P = 90 / 6 = 15.
The final answer is: ####15</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</si>
  <si>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</si>
  <si>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</si>
  <si>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</si>
  <si>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</si>
  <si>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</si>
  <si>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 Step 1: Calculate the total number of pins added by the group in a month.
First, we need to determine how many pins are added to the group in a month. With 20 people in the group, each contributing an average of 10 pins per day, the group adds 20 * 10 = 200 pins per day.
## Step 2: Calculate the total number of pins added in a month.
Since a month has approximately 30 days, the total number of pins added in a month is 200 * 30 = 6000 pins.
## Step 3: Calculate the total number of pins deleted in a month.
The group owner deletes 5 pins per week per person. With 20 people in the group, that's 5 * 20 = 100 pins deleted per week. Since a month has approximately 4 weeks, the total number of pins deleted in a month is 100 * 4 = 400 pins.
## Step 4: Calculate the net change in the number of pins in a month.
The net change in the number of pins is the difference between the pins added and the pins deleted. So, 6000 pins added - 400 pins deleted = 5600 pins net added.
## Step 5: Calculate the total number of pins after a month, considering the initial number of pins.
Initially, there were 1000 pins. After a month, with a net addition of 5600 pins, the total number of pins would be 1000 + 5600 = 6600 pins.
The final answer is: ####6600</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</si>
  <si>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</si>
  <si>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</si>
  <si>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 Step 1: Calculate the number of infections per day during the second wave.
The number of infections per day during the first wave was 300. The number of cases increased by four times more per day during the second wave. This means the number of infections per day during the second wave is 300 + (300 * 4) = 300 + 1200 = 1500.
## Step 2: Calculate the total number of days in 2 weeks.
There are 7 days in a week. So, in 2 weeks, there are 7 * 2 = 14 days.
## Step 3: Calculate the total number of infections during the second wave in 2 weeks.
To find the total number of infections during the second wave in 2 weeks, we multiply the number of infections per day during the second wave by the total number of days in 2 weeks. Total infections = 1500 * 14 = 21000.
The final answer is: ####21000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</si>
  <si>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</si>
  <si>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</si>
  <si>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 Step 1: Calculate the number of minutes Matt worked on Monday
Matt worked for 450 minutes on Monday.
## Step 2: Calculate the number of minutes Matt worked on Tuesday
On Tuesday, Matt worked half the number of minutes he worked on Monday, so he worked 450 / 2 = 225 minutes.
## Step 3: Calculate the difference in minutes between Wednesday and Tuesday
On Wednesday, Matt worked for 300 minutes. To find out how many more minutes he worked on Wednesday than on Tuesday, we need to subtract the minutes worked on Tuesday from the minutes worked on Wednesday: 300 - 225 = 75 minutes.
The final answer is: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</si>
  <si>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</si>
  <si>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</si>
  <si>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 Step 1: Calculate the total number of cookies made by Danny.
Since Danny made 4 dozen cookies, and 1 dozen equals 12 cookies, the total number of cookies made is 4 * 12 = 48 cookies.
## Step 2: Determine the total number of chips in all the cookies.
Each cookie has exactly 7 chips. Therefore, the total number of chips in all the cookies is 48 * 7 = 336 chips.
## Step 3: Calculate the number of cookies eaten by the class.
The class eats half of the cookies, so they eat 48 / 2 = 24 cookies.
## Step 4: Calculate the number of chips eaten by the class.
Since each cookie has 7 chips, the class eats 24 * 7 = 168 chips.
## Step 5: Calculate the number of chips left uneaten.
The total number of chips was 336, and the class ate 168 chips. Therefore, the number of chips left uneaten is 336 - 168 = 168 chips.
The final answer is: ####168</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</si>
  <si>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</si>
  <si>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</si>
  <si>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 46</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</si>
  <si>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</si>
  <si>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</si>
  <si>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 Step 1: Determine the current number of swans and the time frame.
There are currently 15 swans, and we need to calculate the number of swans in 10 years.
## Step 2: Calculate the number of times the swan population will double in 10 years.
Since the population doubles every 2 years, in 10 years, the population will double 10 / 2 = 5 times.
## Step 3: Calculate the number of swans after 10 years.
Starting with 15 swans, the population doubles 5 times. So, we calculate 15 * (2^5) to find the total number of swans after 10 years.
## Step 4: Perform the calculation.
15 * (2^5) = 15 * 32 = 480
The final answer is: ####480</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</si>
  <si>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</si>
  <si>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</si>
  <si>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To calculate the total cost, we need to calculate the total amount of each type of fruit needed and then multiply it by the cost per pound.
5 peach pies * 3 pounds/peach pie = 15 pounds of peaches
4 apple pies * 3 pounds/apple pie = 12 pounds of apples
3 blueberry pies * 3 pounds/blueberry pie = 9 pounds of blueberries
The total cost of peaches is 15 pounds * $2.00/pound = $30.00
The total cost of apples is 12 pounds * $1.00/pound = $12.00
The total cost of blueberries is 9 pounds * $1.00/pound = $9.00
The total cost is $30.00 + $12.00 + $9.00 = $51.00
#### 51</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</si>
  <si>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</si>
  <si>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</si>
  <si>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 Step 1: Calculate the distance from Talia's house to the park.
The distance from Talia's house to the park is 5 miles.
## Step 2: Calculate the distance from the park to the grocery store.
The distance from the park to the grocery store is 3 miles.
## Step 3: Calculate the distance from the grocery store to Talia's house.
The distance from the grocery store to Talia's house is 8 miles.
## Step 4: Add up all the distances to find the total distance driven by Talia.
Total distance = Distance from house to park + Distance from park to grocery store + Distance from grocery store to house.
Total distance = 5 miles + 3 miles + 8 miles.
## Step 5: Perform the addition to find the total distance.
Total distance = 5 + 3 + 8 = 16 miles.
The final answer is: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</si>
  <si>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</si>
  <si>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</si>
  <si>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 Step 1: Determine Emile's age when Maude is 8 years old
Since Emile will be six times as old as Maude, and Maude will be 8 years old, Emile's age can be calculated as 6 * 8 = 48 years.
## Step 2: Determine Anne's age when Emile is 48 years old
Since Anne will be two times as old as Emile, Anne's age can be calculated as 2 * 48 = 96 years.
The final answer is: ####96</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</si>
  <si>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</si>
  <si>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</si>
  <si>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 200
The duck flies 40 days to the south, 80 days to the north (twice as much time as to the south), and 60 days to the East, so 40 + 80 + 60 = 180. However, since the question asks for the total days the duck is flying during these seasons and it is implied that the duck flies back to its original location after each season, we must double the time it takes to fly to the south and to the East. 
So, the total days the duck is flying to the south is 40 * 2 = 80, to the north is 80 * 2 = 160 (but the duck only flies north once, after flying south), and to the East is 60 * 2 = 120. 
The total days the duck is flying during these seasons is 80 (south and back) + 160 (north and back, but the duck is already in the south, so we only add 80 for the north and 80 for the north and back to the original location) + 120 (East and back) = 80 + 80 + 120 = 280. However, the question seems to imply the duck flies to the south, then to the north, then to the East and back to the original location. 
So, the total days the duck is flying is 40 (to the south) + 80 (to the north) + 60 (to the East) + 60 (back to the original location from the East, which is the same distance as from the original location to the East) + 80 (back to the original location from the north, which is the same distance as from the original location to the north) = 40 + 80 + 60 + 60 + 80 = 320. However, the question asks for the total days the duck is flying during these seasons, and the duck flies back to its original location after each season, so we should consider the total days the duck is flying during the winter, summer, and spring. 
The total days the duck is flying during the winter is 40 * 2 = 80, during the summer is 80 * 2 = 160 (but the duck only flies north once, after flying south), and during the spring is 60 * 2 = 120. 
The total days the duck is flying during these seasons is 80 + 160 + 120 = 360. However, the question seems to imply the duck flies to the south, then to the north, then to the East and back to the original location. 
So, the total days the duck is flying is 40 (to the south) + 80 (to the north) + 60 (to the East) + 60 (back to the original location from the East) + 40 (back to the original location from the south) = 40 + 80 + 60 + 60 + 40 = 280. However, the question asks for the total days the duck is flying during these seasons, and the duck flies back to its original location after each season, so we should consider the total days the duck is flying during the winter, summer, and spring. 
The total days the duck is flying during the winter is 40 * 2 = 80, during the summer is 80, and during the spring is 60 * 2 = 120. 
The total days the duck is flying during these seasons is 80 + 80 + 120 = 280. 
The final answer is: ####200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</si>
  <si>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</si>
  <si>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</si>
  <si>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 Step 1: Calculate the total revenue from small pizzas
The pizzeria sold 8 small pizzas at $2 each, so the total revenue from small pizzas is 8 * $2 = $16.
## Step 2: Calculate the revenue from large pizzas
The total revenue from all pizzas is $40, and the revenue from small pizzas is $16, so the revenue from large pizzas is $40 - $16 = $24.
## Step 3: Calculate the number of large pizzas sold
Each large pizza costs $8, and the total revenue from large pizzas is $24, so the number of large pizzas sold is $24 / $8 = 3.
The final answer is: ####3</t>
  </si>
  <si>
    <t>#### 42</t>
  </si>
  <si>
    <t>#### 55</t>
  </si>
  <si>
    <t>correct?</t>
  </si>
  <si>
    <t># correct</t>
  </si>
  <si>
    <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</si>
</sst>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E+00"/>
    <numFmt numFmtId="165" formatCode="0.0000E+00"/>
    <numFmt numFmtId="166" formatCode="0.0E+00"/>
    <numFmt numFmtId="167" formatCode="0E+00"/>
  </numFmts>
  <fonts count="4" x14ac:knownFonts="1">
    <font>
      <sz val="10"/>
      <color indexed="8"/>
      <name val="Helvetica Neue"/>
    </font>
    <font>
      <sz val="12"/>
      <color indexed="8"/>
      <name val="Helvetica Neue"/>
      <family val="2"/>
    </font>
    <font>
      <b/>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3">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Border="1" applyAlignment="1">
      <alignment horizontal="center" vertical="center" wrapText="1"/>
    </xf>
    <xf numFmtId="0" fontId="0" fillId="0" borderId="4" xfId="0" applyNumberFormat="1" applyBorder="1" applyAlignment="1">
      <alignment horizontal="center" vertical="center" wrapText="1"/>
    </xf>
    <xf numFmtId="164" fontId="0" fillId="0" borderId="4" xfId="0" applyNumberFormat="1" applyBorder="1" applyAlignment="1">
      <alignment horizontal="center" vertical="center" wrapText="1"/>
    </xf>
    <xf numFmtId="0" fontId="2" fillId="3" borderId="5" xfId="0" applyNumberFormat="1" applyFont="1" applyFill="1" applyBorder="1" applyAlignment="1">
      <alignment horizontal="center" vertical="center" wrapText="1"/>
    </xf>
    <xf numFmtId="49" fontId="0" fillId="0" borderId="6" xfId="0" applyNumberFormat="1" applyBorder="1" applyAlignment="1">
      <alignment horizontal="center" vertical="center" wrapText="1"/>
    </xf>
    <xf numFmtId="49" fontId="0" fillId="0" borderId="7" xfId="0" applyNumberFormat="1" applyBorder="1" applyAlignment="1">
      <alignment horizontal="center" vertical="center" wrapText="1"/>
    </xf>
    <xf numFmtId="0" fontId="0" fillId="0" borderId="7" xfId="0" applyBorder="1" applyAlignment="1">
      <alignment horizontal="center" vertical="center" wrapText="1"/>
    </xf>
    <xf numFmtId="0" fontId="0" fillId="0" borderId="7" xfId="0" applyNumberFormat="1" applyBorder="1" applyAlignment="1">
      <alignment horizontal="center" vertical="center" wrapText="1"/>
    </xf>
    <xf numFmtId="164" fontId="0" fillId="0" borderId="7" xfId="0" applyNumberFormat="1" applyBorder="1" applyAlignment="1">
      <alignment horizontal="center" vertical="center" wrapText="1"/>
    </xf>
    <xf numFmtId="165" fontId="0" fillId="0" borderId="7" xfId="0" applyNumberFormat="1" applyBorder="1" applyAlignment="1">
      <alignment horizontal="center" vertical="center" wrapText="1"/>
    </xf>
    <xf numFmtId="11" fontId="0" fillId="0" borderId="7" xfId="0" applyNumberFormat="1" applyBorder="1" applyAlignment="1">
      <alignment horizontal="center" vertical="center" wrapText="1"/>
    </xf>
    <xf numFmtId="166" fontId="0" fillId="0" borderId="7" xfId="0" applyNumberFormat="1" applyBorder="1" applyAlignment="1">
      <alignment horizontal="center" vertical="center" wrapText="1"/>
    </xf>
    <xf numFmtId="167" fontId="0" fillId="0" borderId="7" xfId="0" applyNumberFormat="1" applyBorder="1" applyAlignment="1">
      <alignment horizontal="center" vertical="center" wrapText="1"/>
    </xf>
    <xf numFmtId="49" fontId="3" fillId="0" borderId="7" xfId="0" applyNumberFormat="1" applyFont="1" applyBorder="1" applyAlignment="1">
      <alignment horizontal="center" vertical="center" wrapText="1"/>
    </xf>
    <xf numFmtId="0" fontId="3" fillId="0" borderId="0" xfId="0" applyNumberFormat="1" applyFont="1" applyAlignment="1">
      <alignment vertical="top"/>
    </xf>
    <xf numFmtId="0" fontId="3" fillId="0" borderId="7" xfId="0" applyFont="1" applyBorder="1" applyAlignment="1">
      <alignment horizontal="center" vertical="center" wrapText="1"/>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5"/>
  <sheetViews>
    <sheetView showGridLines="0" tabSelected="1" topLeftCell="D502" zoomScale="86" workbookViewId="0">
      <selection activeCell="G510" sqref="G510"/>
    </sheetView>
  </sheetViews>
  <sheetFormatPr baseColWidth="10" defaultColWidth="8.33203125" defaultRowHeight="20" customHeight="1" x14ac:dyDescent="0.15"/>
  <cols>
    <col min="1" max="1" width="5.83203125" style="1" customWidth="1"/>
    <col min="2" max="2" width="166.6640625" style="1" customWidth="1"/>
    <col min="3" max="3" width="130.83203125" style="1" customWidth="1"/>
    <col min="4" max="4" width="71.6640625" style="1" customWidth="1"/>
    <col min="5" max="5" width="20.6640625" style="1" customWidth="1"/>
    <col min="6" max="7" width="18" style="1" customWidth="1"/>
    <col min="8" max="8" width="11.6640625" style="1" customWidth="1"/>
    <col min="9" max="9" width="12.83203125" style="1" customWidth="1"/>
    <col min="10" max="10" width="11.33203125" style="1" customWidth="1"/>
    <col min="11" max="11" width="13.1640625" style="1" customWidth="1"/>
    <col min="12" max="12" width="8.33203125" style="1" customWidth="1"/>
    <col min="13" max="16384" width="8.33203125" style="1"/>
  </cols>
  <sheetData>
    <row r="1" spans="1:11" ht="27.75" customHeight="1" x14ac:dyDescent="0.15">
      <c r="A1" s="22" t="s">
        <v>0</v>
      </c>
      <c r="B1" s="22"/>
      <c r="C1" s="22"/>
      <c r="D1" s="22"/>
      <c r="E1" s="22"/>
      <c r="F1" s="22"/>
      <c r="G1" s="22"/>
      <c r="H1" s="22"/>
      <c r="I1" s="22"/>
      <c r="J1" s="22"/>
      <c r="K1" s="22"/>
    </row>
    <row r="2" spans="1:11" ht="33" customHeight="1" x14ac:dyDescent="0.15">
      <c r="A2" s="2" t="s">
        <v>1</v>
      </c>
      <c r="B2" s="2" t="s">
        <v>2</v>
      </c>
      <c r="C2" s="2" t="s">
        <v>3</v>
      </c>
      <c r="D2" s="2" t="s">
        <v>4</v>
      </c>
      <c r="E2" s="2" t="s">
        <v>5</v>
      </c>
      <c r="F2" s="2" t="s">
        <v>6</v>
      </c>
      <c r="G2" s="2" t="s">
        <v>1501</v>
      </c>
      <c r="H2" s="2" t="s">
        <v>7</v>
      </c>
      <c r="I2" s="2" t="s">
        <v>8</v>
      </c>
      <c r="J2" s="2" t="s">
        <v>9</v>
      </c>
      <c r="K2" s="2" t="s">
        <v>10</v>
      </c>
    </row>
    <row r="3" spans="1:11" ht="128.25" customHeight="1" x14ac:dyDescent="0.15">
      <c r="A3" s="3">
        <v>1297</v>
      </c>
      <c r="B3" s="4" t="s">
        <v>11</v>
      </c>
      <c r="C3" s="5" t="s">
        <v>12</v>
      </c>
      <c r="D3" s="5" t="s">
        <v>13</v>
      </c>
      <c r="E3" s="6">
        <v>8</v>
      </c>
      <c r="F3" s="7">
        <v>8</v>
      </c>
      <c r="G3" s="7">
        <f>IF(OR(ISBLANK(E3), ISBLANK(F3)), 0, IF(E3=F3, 1, 0))</f>
        <v>1</v>
      </c>
      <c r="H3" s="7">
        <v>71</v>
      </c>
      <c r="I3" s="7">
        <v>134</v>
      </c>
      <c r="J3" s="7">
        <v>205</v>
      </c>
      <c r="K3" s="8">
        <v>4.9979999999999999E-5</v>
      </c>
    </row>
    <row r="4" spans="1:11" ht="44" customHeight="1" x14ac:dyDescent="0.15">
      <c r="A4" s="9">
        <v>576</v>
      </c>
      <c r="B4" s="10" t="s">
        <v>14</v>
      </c>
      <c r="C4" s="11" t="s">
        <v>15</v>
      </c>
      <c r="D4" s="19" t="s">
        <v>1500</v>
      </c>
      <c r="E4" s="12">
        <v>55</v>
      </c>
      <c r="F4" s="13">
        <v>50</v>
      </c>
      <c r="G4" s="7">
        <f t="shared" ref="G4:G67" si="0">IF(OR(ISBLANK(E4), ISBLANK(F4)), 0, IF(E4=F4, 1, 0))</f>
        <v>0</v>
      </c>
      <c r="H4" s="13">
        <v>52</v>
      </c>
      <c r="I4" s="13">
        <v>4</v>
      </c>
      <c r="J4" s="13">
        <v>56</v>
      </c>
      <c r="K4" s="14">
        <v>1.344E-5</v>
      </c>
    </row>
    <row r="5" spans="1:11" ht="56" customHeight="1" x14ac:dyDescent="0.15">
      <c r="A5" s="9">
        <v>5462</v>
      </c>
      <c r="B5" s="10" t="s">
        <v>16</v>
      </c>
      <c r="C5" s="11" t="s">
        <v>17</v>
      </c>
      <c r="D5" s="19" t="s">
        <v>1499</v>
      </c>
      <c r="E5" s="12">
        <v>42</v>
      </c>
      <c r="F5" s="13">
        <v>42</v>
      </c>
      <c r="G5" s="7">
        <f t="shared" si="0"/>
        <v>1</v>
      </c>
      <c r="H5" s="13">
        <v>95</v>
      </c>
      <c r="I5" s="13">
        <v>4</v>
      </c>
      <c r="J5" s="13">
        <v>99</v>
      </c>
      <c r="K5" s="14">
        <v>1.948E-5</v>
      </c>
    </row>
    <row r="6" spans="1:11" ht="152" customHeight="1" x14ac:dyDescent="0.15">
      <c r="A6" s="9">
        <v>4336</v>
      </c>
      <c r="B6" s="10" t="s">
        <v>18</v>
      </c>
      <c r="C6" s="11" t="s">
        <v>19</v>
      </c>
      <c r="D6" s="11" t="s">
        <v>20</v>
      </c>
      <c r="E6" s="13">
        <v>90</v>
      </c>
      <c r="F6" s="13">
        <v>90</v>
      </c>
      <c r="G6" s="7">
        <f t="shared" si="0"/>
        <v>1</v>
      </c>
      <c r="H6" s="13">
        <v>57</v>
      </c>
      <c r="I6" s="13">
        <v>153</v>
      </c>
      <c r="J6" s="13">
        <v>210</v>
      </c>
      <c r="K6" s="15">
        <v>6.8894999999999997E-5</v>
      </c>
    </row>
    <row r="7" spans="1:11" ht="128" customHeight="1" x14ac:dyDescent="0.15">
      <c r="A7" s="9">
        <v>7105</v>
      </c>
      <c r="B7" s="10" t="s">
        <v>21</v>
      </c>
      <c r="C7" s="11" t="s">
        <v>22</v>
      </c>
      <c r="D7" s="11" t="s">
        <v>23</v>
      </c>
      <c r="E7" s="13">
        <v>500</v>
      </c>
      <c r="F7" s="13">
        <v>500</v>
      </c>
      <c r="G7" s="7">
        <f t="shared" si="0"/>
        <v>1</v>
      </c>
      <c r="H7" s="13">
        <v>65</v>
      </c>
      <c r="I7" s="13">
        <v>131</v>
      </c>
      <c r="J7" s="13">
        <v>196</v>
      </c>
      <c r="K7" s="14">
        <v>4.8420000000000001E-5</v>
      </c>
    </row>
    <row r="8" spans="1:11" ht="152" customHeight="1" x14ac:dyDescent="0.15">
      <c r="A8" s="9">
        <v>6808</v>
      </c>
      <c r="B8" s="10" t="s">
        <v>24</v>
      </c>
      <c r="C8" s="11" t="s">
        <v>25</v>
      </c>
      <c r="D8" s="11" t="s">
        <v>26</v>
      </c>
      <c r="E8" s="13">
        <v>600</v>
      </c>
      <c r="F8" s="13">
        <v>600</v>
      </c>
      <c r="G8" s="7">
        <f t="shared" si="0"/>
        <v>1</v>
      </c>
      <c r="H8" s="13">
        <v>68</v>
      </c>
      <c r="I8" s="13">
        <v>142</v>
      </c>
      <c r="J8" s="13">
        <v>210</v>
      </c>
      <c r="K8" s="14">
        <v>5.2240000000000001E-5</v>
      </c>
    </row>
    <row r="9" spans="1:11" ht="164" customHeight="1" x14ac:dyDescent="0.15">
      <c r="A9" s="9">
        <v>4404</v>
      </c>
      <c r="B9" s="10" t="s">
        <v>27</v>
      </c>
      <c r="C9" s="11" t="s">
        <v>28</v>
      </c>
      <c r="D9" s="11" t="s">
        <v>29</v>
      </c>
      <c r="E9" s="13">
        <v>200</v>
      </c>
      <c r="F9" s="13">
        <v>200</v>
      </c>
      <c r="G9" s="7">
        <f t="shared" si="0"/>
        <v>1</v>
      </c>
      <c r="H9" s="13">
        <v>54</v>
      </c>
      <c r="I9" s="13">
        <v>71</v>
      </c>
      <c r="J9" s="13">
        <v>125</v>
      </c>
      <c r="K9" s="14">
        <v>6.6749999999999996E-5</v>
      </c>
    </row>
    <row r="10" spans="1:11" ht="128" customHeight="1" x14ac:dyDescent="0.15">
      <c r="A10" s="9">
        <v>1649</v>
      </c>
      <c r="B10" s="10" t="s">
        <v>30</v>
      </c>
      <c r="C10" s="11" t="s">
        <v>31</v>
      </c>
      <c r="D10" s="11" t="s">
        <v>32</v>
      </c>
      <c r="E10" s="13">
        <v>25</v>
      </c>
      <c r="F10" s="13">
        <v>25</v>
      </c>
      <c r="G10" s="7">
        <f t="shared" si="0"/>
        <v>1</v>
      </c>
      <c r="H10" s="13">
        <v>72</v>
      </c>
      <c r="I10" s="13">
        <v>152</v>
      </c>
      <c r="J10" s="13">
        <v>224</v>
      </c>
      <c r="K10" s="14">
        <v>5.5840000000000001E-5</v>
      </c>
    </row>
    <row r="11" spans="1:11" ht="44" customHeight="1" x14ac:dyDescent="0.15">
      <c r="A11" s="9">
        <v>5958</v>
      </c>
      <c r="B11" s="10" t="s">
        <v>33</v>
      </c>
      <c r="C11" s="11" t="s">
        <v>34</v>
      </c>
      <c r="D11" s="11" t="s">
        <v>35</v>
      </c>
      <c r="E11" s="12"/>
      <c r="F11" s="13">
        <v>900</v>
      </c>
      <c r="G11" s="7">
        <f t="shared" si="0"/>
        <v>0</v>
      </c>
      <c r="H11" s="13">
        <v>123</v>
      </c>
      <c r="I11" s="13">
        <v>4</v>
      </c>
      <c r="J11" s="13">
        <v>127</v>
      </c>
      <c r="K11" s="14">
        <v>1.358E-5</v>
      </c>
    </row>
    <row r="12" spans="1:11" ht="212" customHeight="1" x14ac:dyDescent="0.15">
      <c r="A12" s="9">
        <v>6366</v>
      </c>
      <c r="B12" s="10" t="s">
        <v>36</v>
      </c>
      <c r="C12" s="11" t="s">
        <v>37</v>
      </c>
      <c r="D12" s="11" t="s">
        <v>38</v>
      </c>
      <c r="E12" s="13">
        <v>54</v>
      </c>
      <c r="F12" s="13">
        <v>54</v>
      </c>
      <c r="G12" s="7">
        <f t="shared" si="0"/>
        <v>1</v>
      </c>
      <c r="H12" s="13">
        <v>116</v>
      </c>
      <c r="I12" s="13">
        <v>247</v>
      </c>
      <c r="J12" s="13">
        <v>363</v>
      </c>
      <c r="K12" s="14">
        <v>9.064E-5</v>
      </c>
    </row>
    <row r="13" spans="1:11" ht="44" customHeight="1" x14ac:dyDescent="0.15">
      <c r="A13" s="9">
        <v>3463</v>
      </c>
      <c r="B13" s="10" t="s">
        <v>39</v>
      </c>
      <c r="C13" s="11" t="s">
        <v>40</v>
      </c>
      <c r="D13" s="11" t="s">
        <v>41</v>
      </c>
      <c r="E13" s="12"/>
      <c r="F13" s="13">
        <v>70</v>
      </c>
      <c r="G13" s="7">
        <f t="shared" si="0"/>
        <v>0</v>
      </c>
      <c r="H13" s="13">
        <v>77</v>
      </c>
      <c r="I13" s="13">
        <v>4</v>
      </c>
      <c r="J13" s="13">
        <v>81</v>
      </c>
      <c r="K13" s="16">
        <v>8.9800000000000004E-6</v>
      </c>
    </row>
    <row r="14" spans="1:11" ht="44" customHeight="1" x14ac:dyDescent="0.15">
      <c r="A14" s="9">
        <v>1669</v>
      </c>
      <c r="B14" s="10" t="s">
        <v>42</v>
      </c>
      <c r="C14" s="11" t="s">
        <v>43</v>
      </c>
      <c r="D14" s="11" t="s">
        <v>44</v>
      </c>
      <c r="E14" s="12"/>
      <c r="F14" s="13">
        <v>104</v>
      </c>
      <c r="G14" s="7">
        <f t="shared" si="0"/>
        <v>0</v>
      </c>
      <c r="H14" s="13">
        <v>53</v>
      </c>
      <c r="I14" s="13">
        <v>4</v>
      </c>
      <c r="J14" s="13">
        <v>57</v>
      </c>
      <c r="K14" s="16">
        <v>6.5799999999999997E-6</v>
      </c>
    </row>
    <row r="15" spans="1:11" ht="200" customHeight="1" x14ac:dyDescent="0.15">
      <c r="A15" s="9">
        <v>4032</v>
      </c>
      <c r="B15" s="10" t="s">
        <v>45</v>
      </c>
      <c r="C15" s="11" t="s">
        <v>46</v>
      </c>
      <c r="D15" s="11" t="s">
        <v>47</v>
      </c>
      <c r="E15" s="13">
        <v>21</v>
      </c>
      <c r="F15" s="13">
        <v>21</v>
      </c>
      <c r="G15" s="7">
        <f t="shared" si="0"/>
        <v>1</v>
      </c>
      <c r="H15" s="13">
        <v>80</v>
      </c>
      <c r="I15" s="13">
        <v>187</v>
      </c>
      <c r="J15" s="13">
        <v>267</v>
      </c>
      <c r="K15" s="14">
        <v>6.7840000000000001E-5</v>
      </c>
    </row>
    <row r="16" spans="1:11" ht="164" customHeight="1" x14ac:dyDescent="0.15">
      <c r="A16" s="9">
        <v>5196</v>
      </c>
      <c r="B16" s="10" t="s">
        <v>48</v>
      </c>
      <c r="C16" s="11" t="s">
        <v>49</v>
      </c>
      <c r="D16" s="11" t="s">
        <v>50</v>
      </c>
      <c r="E16" s="12">
        <v>18</v>
      </c>
      <c r="F16" s="13">
        <v>18</v>
      </c>
      <c r="G16" s="7">
        <f t="shared" si="0"/>
        <v>1</v>
      </c>
      <c r="H16" s="13">
        <v>69</v>
      </c>
      <c r="I16" s="13">
        <v>161</v>
      </c>
      <c r="J16" s="13">
        <v>230</v>
      </c>
      <c r="K16" s="14">
        <v>5.842E-5</v>
      </c>
    </row>
    <row r="17" spans="1:11" ht="200" customHeight="1" x14ac:dyDescent="0.15">
      <c r="A17" s="9">
        <v>1025</v>
      </c>
      <c r="B17" s="10" t="s">
        <v>51</v>
      </c>
      <c r="C17" s="11" t="s">
        <v>52</v>
      </c>
      <c r="D17" s="11" t="s">
        <v>53</v>
      </c>
      <c r="E17" s="13">
        <v>640</v>
      </c>
      <c r="F17" s="13">
        <v>640</v>
      </c>
      <c r="G17" s="7">
        <f t="shared" si="0"/>
        <v>1</v>
      </c>
      <c r="H17" s="13">
        <v>60</v>
      </c>
      <c r="I17" s="13">
        <v>181</v>
      </c>
      <c r="J17" s="13">
        <v>241</v>
      </c>
      <c r="K17" s="16">
        <v>8.0500000000000005E-5</v>
      </c>
    </row>
    <row r="18" spans="1:11" ht="164" customHeight="1" x14ac:dyDescent="0.15">
      <c r="A18" s="9">
        <v>5833</v>
      </c>
      <c r="B18" s="10" t="s">
        <v>54</v>
      </c>
      <c r="C18" s="11" t="s">
        <v>55</v>
      </c>
      <c r="D18" s="11" t="s">
        <v>56</v>
      </c>
      <c r="E18" s="12">
        <v>51</v>
      </c>
      <c r="F18" s="13">
        <v>51</v>
      </c>
      <c r="G18" s="7">
        <f t="shared" si="0"/>
        <v>1</v>
      </c>
      <c r="H18" s="13">
        <v>95</v>
      </c>
      <c r="I18" s="13">
        <v>168</v>
      </c>
      <c r="J18" s="13">
        <v>263</v>
      </c>
      <c r="K18" s="13">
        <v>1.0476000000000001E-4</v>
      </c>
    </row>
    <row r="19" spans="1:11" ht="116" customHeight="1" x14ac:dyDescent="0.15">
      <c r="A19" s="9">
        <v>4728</v>
      </c>
      <c r="B19" s="10" t="s">
        <v>57</v>
      </c>
      <c r="C19" s="11" t="s">
        <v>58</v>
      </c>
      <c r="D19" s="11" t="s">
        <v>59</v>
      </c>
      <c r="E19" s="13">
        <v>10000</v>
      </c>
      <c r="F19" s="13">
        <v>10000</v>
      </c>
      <c r="G19" s="7">
        <f t="shared" si="0"/>
        <v>1</v>
      </c>
      <c r="H19" s="13">
        <v>95</v>
      </c>
      <c r="I19" s="13">
        <v>119</v>
      </c>
      <c r="J19" s="13">
        <v>214</v>
      </c>
      <c r="K19" s="15">
        <v>6.0424999999999998E-5</v>
      </c>
    </row>
    <row r="20" spans="1:11" ht="224" customHeight="1" x14ac:dyDescent="0.15">
      <c r="A20" s="9">
        <v>1055</v>
      </c>
      <c r="B20" s="10" t="s">
        <v>60</v>
      </c>
      <c r="C20" s="11" t="s">
        <v>61</v>
      </c>
      <c r="D20" s="11" t="s">
        <v>62</v>
      </c>
      <c r="E20" s="13">
        <v>3500000</v>
      </c>
      <c r="F20" s="13">
        <v>3500000</v>
      </c>
      <c r="G20" s="7">
        <f t="shared" si="0"/>
        <v>1</v>
      </c>
      <c r="H20" s="13">
        <v>56</v>
      </c>
      <c r="I20" s="13">
        <v>203</v>
      </c>
      <c r="J20" s="13">
        <v>259</v>
      </c>
      <c r="K20" s="14">
        <v>7.0560000000000002E-5</v>
      </c>
    </row>
    <row r="21" spans="1:11" ht="224" customHeight="1" x14ac:dyDescent="0.15">
      <c r="A21" s="9">
        <v>3481</v>
      </c>
      <c r="B21" s="10" t="s">
        <v>63</v>
      </c>
      <c r="C21" s="11" t="s">
        <v>64</v>
      </c>
      <c r="D21" s="11" t="s">
        <v>65</v>
      </c>
      <c r="E21" s="13">
        <v>300</v>
      </c>
      <c r="F21" s="13">
        <v>300</v>
      </c>
      <c r="G21" s="7">
        <f t="shared" si="0"/>
        <v>1</v>
      </c>
      <c r="H21" s="13">
        <v>81</v>
      </c>
      <c r="I21" s="13">
        <v>236</v>
      </c>
      <c r="J21" s="13">
        <v>317</v>
      </c>
      <c r="K21" s="13">
        <v>2.4885E-4</v>
      </c>
    </row>
    <row r="22" spans="1:11" ht="248" customHeight="1" x14ac:dyDescent="0.15">
      <c r="A22" s="9">
        <v>5368</v>
      </c>
      <c r="B22" s="10" t="s">
        <v>66</v>
      </c>
      <c r="C22" s="11" t="s">
        <v>67</v>
      </c>
      <c r="D22" s="11" t="s">
        <v>68</v>
      </c>
      <c r="E22" s="13">
        <v>22</v>
      </c>
      <c r="F22" s="13">
        <v>22</v>
      </c>
      <c r="G22" s="7">
        <f t="shared" si="0"/>
        <v>1</v>
      </c>
      <c r="H22" s="13">
        <v>107</v>
      </c>
      <c r="I22" s="13">
        <v>212</v>
      </c>
      <c r="J22" s="13">
        <v>319</v>
      </c>
      <c r="K22" s="13">
        <v>2.3060999999999999E-4</v>
      </c>
    </row>
    <row r="23" spans="1:11" ht="248" customHeight="1" x14ac:dyDescent="0.15">
      <c r="A23" s="9">
        <v>2582</v>
      </c>
      <c r="B23" s="10" t="s">
        <v>69</v>
      </c>
      <c r="C23" s="11" t="s">
        <v>70</v>
      </c>
      <c r="D23" s="11" t="s">
        <v>71</v>
      </c>
      <c r="E23" s="13">
        <v>20</v>
      </c>
      <c r="F23" s="13">
        <v>20</v>
      </c>
      <c r="G23" s="7">
        <f t="shared" si="0"/>
        <v>1</v>
      </c>
      <c r="H23" s="13">
        <v>79</v>
      </c>
      <c r="I23" s="13">
        <v>280</v>
      </c>
      <c r="J23" s="13">
        <v>359</v>
      </c>
      <c r="K23" s="16">
        <v>9.7499999999999998E-5</v>
      </c>
    </row>
    <row r="24" spans="1:11" ht="164" customHeight="1" x14ac:dyDescent="0.15">
      <c r="A24" s="9">
        <v>1034</v>
      </c>
      <c r="B24" s="10" t="s">
        <v>72</v>
      </c>
      <c r="C24" s="11" t="s">
        <v>73</v>
      </c>
      <c r="D24" s="11" t="s">
        <v>74</v>
      </c>
      <c r="E24" s="13">
        <v>8</v>
      </c>
      <c r="F24" s="13">
        <v>8</v>
      </c>
      <c r="G24" s="7">
        <f t="shared" si="0"/>
        <v>1</v>
      </c>
      <c r="H24" s="13">
        <v>116</v>
      </c>
      <c r="I24" s="13">
        <v>179</v>
      </c>
      <c r="J24" s="13">
        <v>295</v>
      </c>
      <c r="K24" s="13">
        <v>2.0985000000000001E-4</v>
      </c>
    </row>
    <row r="25" spans="1:11" ht="128" customHeight="1" x14ac:dyDescent="0.15">
      <c r="A25" s="9">
        <v>5286</v>
      </c>
      <c r="B25" s="10" t="s">
        <v>75</v>
      </c>
      <c r="C25" s="11" t="s">
        <v>76</v>
      </c>
      <c r="D25" s="11" t="s">
        <v>77</v>
      </c>
      <c r="E25" s="13">
        <v>33</v>
      </c>
      <c r="F25" s="13">
        <v>33</v>
      </c>
      <c r="G25" s="7">
        <f t="shared" si="0"/>
        <v>1</v>
      </c>
      <c r="H25" s="13">
        <v>63</v>
      </c>
      <c r="I25" s="13">
        <v>120</v>
      </c>
      <c r="J25" s="13">
        <v>183</v>
      </c>
      <c r="K25" s="16">
        <v>4.4700000000000002E-5</v>
      </c>
    </row>
    <row r="26" spans="1:11" ht="56" customHeight="1" x14ac:dyDescent="0.15">
      <c r="A26" s="9">
        <v>2226</v>
      </c>
      <c r="B26" s="10" t="s">
        <v>78</v>
      </c>
      <c r="C26" s="11" t="s">
        <v>79</v>
      </c>
      <c r="D26" s="11" t="s">
        <v>80</v>
      </c>
      <c r="E26" s="12">
        <v>3</v>
      </c>
      <c r="F26" s="13">
        <v>3</v>
      </c>
      <c r="G26" s="7">
        <f t="shared" si="0"/>
        <v>1</v>
      </c>
      <c r="H26" s="13">
        <v>86</v>
      </c>
      <c r="I26" s="13">
        <v>4</v>
      </c>
      <c r="J26" s="13">
        <v>90</v>
      </c>
      <c r="K26" s="14">
        <v>1.3210000000000001E-5</v>
      </c>
    </row>
    <row r="27" spans="1:11" ht="224" customHeight="1" x14ac:dyDescent="0.15">
      <c r="A27" s="9">
        <v>4240</v>
      </c>
      <c r="B27" s="10" t="s">
        <v>81</v>
      </c>
      <c r="C27" s="11" t="s">
        <v>82</v>
      </c>
      <c r="D27" s="11" t="s">
        <v>83</v>
      </c>
      <c r="E27" s="12"/>
      <c r="F27" s="13">
        <v>47</v>
      </c>
      <c r="G27" s="7">
        <f t="shared" si="0"/>
        <v>0</v>
      </c>
      <c r="H27" s="13">
        <v>67</v>
      </c>
      <c r="I27" s="13">
        <v>259</v>
      </c>
      <c r="J27" s="13">
        <v>326</v>
      </c>
      <c r="K27" s="14">
        <v>8.9580000000000006E-5</v>
      </c>
    </row>
    <row r="28" spans="1:11" ht="188" customHeight="1" x14ac:dyDescent="0.15">
      <c r="A28" s="9">
        <v>2126</v>
      </c>
      <c r="B28" s="10" t="s">
        <v>84</v>
      </c>
      <c r="C28" s="11" t="s">
        <v>85</v>
      </c>
      <c r="D28" s="11" t="s">
        <v>86</v>
      </c>
      <c r="E28" s="13">
        <v>490</v>
      </c>
      <c r="F28" s="13">
        <v>490</v>
      </c>
      <c r="G28" s="7">
        <f t="shared" si="0"/>
        <v>1</v>
      </c>
      <c r="H28" s="13">
        <v>56</v>
      </c>
      <c r="I28" s="13">
        <v>137</v>
      </c>
      <c r="J28" s="13">
        <v>193</v>
      </c>
      <c r="K28" s="13">
        <v>1.1675000000000001E-4</v>
      </c>
    </row>
    <row r="29" spans="1:11" ht="260" customHeight="1" x14ac:dyDescent="0.15">
      <c r="A29" s="9">
        <v>5897</v>
      </c>
      <c r="B29" s="10" t="s">
        <v>87</v>
      </c>
      <c r="C29" s="11" t="s">
        <v>88</v>
      </c>
      <c r="D29" s="11" t="s">
        <v>89</v>
      </c>
      <c r="E29" s="13">
        <v>196</v>
      </c>
      <c r="F29" s="13">
        <v>196</v>
      </c>
      <c r="G29" s="7">
        <f t="shared" si="0"/>
        <v>1</v>
      </c>
      <c r="H29" s="13">
        <v>121</v>
      </c>
      <c r="I29" s="13">
        <v>308</v>
      </c>
      <c r="J29" s="13">
        <v>429</v>
      </c>
      <c r="K29" s="13">
        <v>1.1066E-4</v>
      </c>
    </row>
    <row r="30" spans="1:11" ht="164" customHeight="1" x14ac:dyDescent="0.15">
      <c r="A30" s="9">
        <v>101</v>
      </c>
      <c r="B30" s="10" t="s">
        <v>90</v>
      </c>
      <c r="C30" s="11" t="s">
        <v>91</v>
      </c>
      <c r="D30" s="11" t="s">
        <v>92</v>
      </c>
      <c r="E30" s="13">
        <v>36</v>
      </c>
      <c r="F30" s="13">
        <v>36</v>
      </c>
      <c r="G30" s="7">
        <f t="shared" si="0"/>
        <v>1</v>
      </c>
      <c r="H30" s="13">
        <v>149</v>
      </c>
      <c r="I30" s="13">
        <v>152</v>
      </c>
      <c r="J30" s="13">
        <v>301</v>
      </c>
      <c r="K30" s="13">
        <v>3.8611299999999999E-4</v>
      </c>
    </row>
    <row r="31" spans="1:11" ht="56" customHeight="1" x14ac:dyDescent="0.15">
      <c r="A31" s="9">
        <v>3080</v>
      </c>
      <c r="B31" s="10" t="s">
        <v>93</v>
      </c>
      <c r="C31" s="11" t="s">
        <v>94</v>
      </c>
      <c r="D31" s="11" t="s">
        <v>95</v>
      </c>
      <c r="E31" s="12"/>
      <c r="F31" s="13">
        <v>7</v>
      </c>
      <c r="G31" s="7">
        <f t="shared" si="0"/>
        <v>0</v>
      </c>
      <c r="H31" s="13">
        <v>57</v>
      </c>
      <c r="I31" s="13">
        <v>4</v>
      </c>
      <c r="J31" s="13">
        <v>61</v>
      </c>
      <c r="K31" s="14">
        <v>9.2949999999999999E-6</v>
      </c>
    </row>
    <row r="32" spans="1:11" ht="176" customHeight="1" x14ac:dyDescent="0.15">
      <c r="A32" s="9">
        <v>4600</v>
      </c>
      <c r="B32" s="10" t="s">
        <v>96</v>
      </c>
      <c r="C32" s="11" t="s">
        <v>97</v>
      </c>
      <c r="D32" s="11" t="s">
        <v>98</v>
      </c>
      <c r="E32" s="13">
        <v>160</v>
      </c>
      <c r="F32" s="13">
        <v>160</v>
      </c>
      <c r="G32" s="7">
        <f t="shared" si="0"/>
        <v>1</v>
      </c>
      <c r="H32" s="13">
        <v>89</v>
      </c>
      <c r="I32" s="13">
        <v>185</v>
      </c>
      <c r="J32" s="13">
        <v>274</v>
      </c>
      <c r="K32" s="15">
        <v>8.6014999999999996E-5</v>
      </c>
    </row>
    <row r="33" spans="1:11" ht="200" customHeight="1" x14ac:dyDescent="0.15">
      <c r="A33" s="9">
        <v>733</v>
      </c>
      <c r="B33" s="10" t="s">
        <v>99</v>
      </c>
      <c r="C33" s="11" t="s">
        <v>100</v>
      </c>
      <c r="D33" s="11" t="s">
        <v>101</v>
      </c>
      <c r="E33" s="13">
        <v>53</v>
      </c>
      <c r="F33" s="13">
        <v>53</v>
      </c>
      <c r="G33" s="7">
        <f t="shared" si="0"/>
        <v>1</v>
      </c>
      <c r="H33" s="13">
        <v>84</v>
      </c>
      <c r="I33" s="13">
        <v>216</v>
      </c>
      <c r="J33" s="13">
        <v>300</v>
      </c>
      <c r="K33" s="14">
        <v>9.7739999999999996E-5</v>
      </c>
    </row>
    <row r="34" spans="1:11" ht="272" customHeight="1" x14ac:dyDescent="0.15">
      <c r="A34" s="9">
        <v>5091</v>
      </c>
      <c r="B34" s="10" t="s">
        <v>102</v>
      </c>
      <c r="C34" s="11" t="s">
        <v>103</v>
      </c>
      <c r="D34" s="11" t="s">
        <v>104</v>
      </c>
      <c r="E34" s="13">
        <v>21</v>
      </c>
      <c r="F34" s="13">
        <v>21</v>
      </c>
      <c r="G34" s="7">
        <f t="shared" si="0"/>
        <v>1</v>
      </c>
      <c r="H34" s="13">
        <v>113</v>
      </c>
      <c r="I34" s="13">
        <v>317</v>
      </c>
      <c r="J34" s="13">
        <v>430</v>
      </c>
      <c r="K34" s="13">
        <v>1.4205500000000001E-4</v>
      </c>
    </row>
    <row r="35" spans="1:11" ht="248" customHeight="1" x14ac:dyDescent="0.15">
      <c r="A35" s="9">
        <v>5707</v>
      </c>
      <c r="B35" s="10" t="s">
        <v>105</v>
      </c>
      <c r="C35" s="11" t="s">
        <v>106</v>
      </c>
      <c r="D35" s="11" t="s">
        <v>107</v>
      </c>
      <c r="E35" s="13">
        <v>2</v>
      </c>
      <c r="F35" s="13">
        <v>2</v>
      </c>
      <c r="G35" s="7">
        <f t="shared" si="0"/>
        <v>1</v>
      </c>
      <c r="H35" s="13">
        <v>120</v>
      </c>
      <c r="I35" s="13">
        <v>246</v>
      </c>
      <c r="J35" s="13">
        <v>366</v>
      </c>
      <c r="K35" s="14">
        <v>9.0719999999999999E-5</v>
      </c>
    </row>
    <row r="36" spans="1:11" ht="176" customHeight="1" x14ac:dyDescent="0.15">
      <c r="A36" s="9">
        <v>5007</v>
      </c>
      <c r="B36" s="10" t="s">
        <v>108</v>
      </c>
      <c r="C36" s="11" t="s">
        <v>109</v>
      </c>
      <c r="D36" s="11" t="s">
        <v>110</v>
      </c>
      <c r="E36" s="12"/>
      <c r="F36" s="13">
        <v>33</v>
      </c>
      <c r="G36" s="7">
        <f t="shared" si="0"/>
        <v>0</v>
      </c>
      <c r="H36" s="13">
        <v>65</v>
      </c>
      <c r="I36" s="13">
        <v>215</v>
      </c>
      <c r="J36" s="13">
        <v>280</v>
      </c>
      <c r="K36" s="16">
        <v>7.5300000000000001E-5</v>
      </c>
    </row>
    <row r="37" spans="1:11" ht="248" customHeight="1" x14ac:dyDescent="0.15">
      <c r="A37" s="9">
        <v>957</v>
      </c>
      <c r="B37" s="10" t="s">
        <v>111</v>
      </c>
      <c r="C37" s="11" t="s">
        <v>112</v>
      </c>
      <c r="D37" s="11" t="s">
        <v>113</v>
      </c>
      <c r="E37" s="13">
        <v>240</v>
      </c>
      <c r="F37" s="13">
        <v>240</v>
      </c>
      <c r="G37" s="7">
        <f t="shared" si="0"/>
        <v>1</v>
      </c>
      <c r="H37" s="13">
        <v>92</v>
      </c>
      <c r="I37" s="13">
        <v>287</v>
      </c>
      <c r="J37" s="13">
        <v>379</v>
      </c>
      <c r="K37" s="13">
        <v>1.6604E-4</v>
      </c>
    </row>
    <row r="38" spans="1:11" ht="260" customHeight="1" x14ac:dyDescent="0.15">
      <c r="A38" s="9">
        <v>3018</v>
      </c>
      <c r="B38" s="10" t="s">
        <v>114</v>
      </c>
      <c r="C38" s="11" t="s">
        <v>115</v>
      </c>
      <c r="D38" s="11" t="s">
        <v>116</v>
      </c>
      <c r="E38" s="13">
        <v>160</v>
      </c>
      <c r="F38" s="13">
        <v>160</v>
      </c>
      <c r="G38" s="7">
        <f t="shared" si="0"/>
        <v>1</v>
      </c>
      <c r="H38" s="13">
        <v>93</v>
      </c>
      <c r="I38" s="13">
        <v>256</v>
      </c>
      <c r="J38" s="13">
        <v>349</v>
      </c>
      <c r="K38" s="13">
        <v>1.14955E-4</v>
      </c>
    </row>
    <row r="39" spans="1:11" ht="200" customHeight="1" x14ac:dyDescent="0.15">
      <c r="A39" s="9">
        <v>4925</v>
      </c>
      <c r="B39" s="10" t="s">
        <v>117</v>
      </c>
      <c r="C39" s="11" t="s">
        <v>118</v>
      </c>
      <c r="D39" s="11" t="s">
        <v>119</v>
      </c>
      <c r="E39" s="13">
        <v>36</v>
      </c>
      <c r="F39" s="13">
        <v>36</v>
      </c>
      <c r="G39" s="7">
        <f t="shared" si="0"/>
        <v>1</v>
      </c>
      <c r="H39" s="13">
        <v>89</v>
      </c>
      <c r="I39" s="13">
        <v>227</v>
      </c>
      <c r="J39" s="13">
        <v>316</v>
      </c>
      <c r="K39" s="14">
        <v>8.1539999999999995E-5</v>
      </c>
    </row>
    <row r="40" spans="1:11" ht="176" customHeight="1" x14ac:dyDescent="0.15">
      <c r="A40" s="9">
        <v>2689</v>
      </c>
      <c r="B40" s="10" t="s">
        <v>120</v>
      </c>
      <c r="C40" s="11" t="s">
        <v>121</v>
      </c>
      <c r="D40" s="11" t="s">
        <v>122</v>
      </c>
      <c r="E40" s="13">
        <v>52</v>
      </c>
      <c r="F40" s="13">
        <v>52</v>
      </c>
      <c r="G40" s="7">
        <f t="shared" si="0"/>
        <v>1</v>
      </c>
      <c r="H40" s="13">
        <v>71</v>
      </c>
      <c r="I40" s="13">
        <v>155</v>
      </c>
      <c r="J40" s="13">
        <v>226</v>
      </c>
      <c r="K40" s="15">
        <v>7.1585E-5</v>
      </c>
    </row>
    <row r="41" spans="1:11" ht="320" customHeight="1" x14ac:dyDescent="0.15">
      <c r="A41" s="9">
        <v>4597</v>
      </c>
      <c r="B41" s="10" t="s">
        <v>123</v>
      </c>
      <c r="C41" s="11" t="s">
        <v>124</v>
      </c>
      <c r="D41" s="11" t="s">
        <v>125</v>
      </c>
      <c r="E41" s="13">
        <v>700</v>
      </c>
      <c r="F41" s="13">
        <v>700</v>
      </c>
      <c r="G41" s="7">
        <f t="shared" si="0"/>
        <v>1</v>
      </c>
      <c r="H41" s="13">
        <v>108</v>
      </c>
      <c r="I41" s="13">
        <v>386</v>
      </c>
      <c r="J41" s="13">
        <v>494</v>
      </c>
      <c r="K41" s="13">
        <v>2.1912E-4</v>
      </c>
    </row>
    <row r="42" spans="1:11" ht="188" customHeight="1" x14ac:dyDescent="0.15">
      <c r="A42" s="9">
        <v>2638</v>
      </c>
      <c r="B42" s="10" t="s">
        <v>126</v>
      </c>
      <c r="C42" s="11" t="s">
        <v>127</v>
      </c>
      <c r="D42" s="11" t="s">
        <v>128</v>
      </c>
      <c r="E42" s="13">
        <v>125</v>
      </c>
      <c r="F42" s="13">
        <v>125</v>
      </c>
      <c r="G42" s="7">
        <f t="shared" si="0"/>
        <v>1</v>
      </c>
      <c r="H42" s="13">
        <v>72</v>
      </c>
      <c r="I42" s="13">
        <v>173</v>
      </c>
      <c r="J42" s="13">
        <v>245</v>
      </c>
      <c r="K42" s="13">
        <v>1.0116E-4</v>
      </c>
    </row>
    <row r="43" spans="1:11" ht="164" customHeight="1" x14ac:dyDescent="0.15">
      <c r="A43" s="9">
        <v>6175</v>
      </c>
      <c r="B43" s="10" t="s">
        <v>129</v>
      </c>
      <c r="C43" s="11" t="s">
        <v>130</v>
      </c>
      <c r="D43" s="11" t="s">
        <v>131</v>
      </c>
      <c r="E43" s="13">
        <v>92</v>
      </c>
      <c r="F43" s="13">
        <v>92</v>
      </c>
      <c r="G43" s="7">
        <f t="shared" si="0"/>
        <v>1</v>
      </c>
      <c r="H43" s="13">
        <v>61</v>
      </c>
      <c r="I43" s="13">
        <v>188</v>
      </c>
      <c r="J43" s="13">
        <v>249</v>
      </c>
      <c r="K43" s="15">
        <v>8.3435000000000003E-5</v>
      </c>
    </row>
    <row r="44" spans="1:11" ht="164" customHeight="1" x14ac:dyDescent="0.15">
      <c r="A44" s="9">
        <v>5507</v>
      </c>
      <c r="B44" s="10" t="s">
        <v>132</v>
      </c>
      <c r="C44" s="11" t="s">
        <v>133</v>
      </c>
      <c r="D44" s="11" t="s">
        <v>134</v>
      </c>
      <c r="E44" s="13">
        <v>550</v>
      </c>
      <c r="F44" s="13">
        <v>550</v>
      </c>
      <c r="G44" s="7">
        <f t="shared" si="0"/>
        <v>1</v>
      </c>
      <c r="H44" s="13">
        <v>70</v>
      </c>
      <c r="I44" s="13">
        <v>170</v>
      </c>
      <c r="J44" s="13">
        <v>240</v>
      </c>
      <c r="K44" s="16">
        <v>6.1400000000000002E-5</v>
      </c>
    </row>
    <row r="45" spans="1:11" ht="188" customHeight="1" x14ac:dyDescent="0.15">
      <c r="A45" s="9">
        <v>5120</v>
      </c>
      <c r="B45" s="10" t="s">
        <v>135</v>
      </c>
      <c r="C45" s="11" t="s">
        <v>136</v>
      </c>
      <c r="D45" s="11" t="s">
        <v>137</v>
      </c>
      <c r="E45" s="13">
        <v>16</v>
      </c>
      <c r="F45" s="13">
        <v>16</v>
      </c>
      <c r="G45" s="7">
        <f t="shared" si="0"/>
        <v>1</v>
      </c>
      <c r="H45" s="13">
        <v>60</v>
      </c>
      <c r="I45" s="13">
        <v>168</v>
      </c>
      <c r="J45" s="13">
        <v>228</v>
      </c>
      <c r="K45" s="16">
        <v>7.5300000000000001E-5</v>
      </c>
    </row>
    <row r="46" spans="1:11" ht="200" customHeight="1" x14ac:dyDescent="0.15">
      <c r="A46" s="9">
        <v>4275</v>
      </c>
      <c r="B46" s="10" t="s">
        <v>138</v>
      </c>
      <c r="C46" s="11" t="s">
        <v>139</v>
      </c>
      <c r="D46" s="11" t="s">
        <v>140</v>
      </c>
      <c r="E46" s="13">
        <v>600</v>
      </c>
      <c r="F46" s="13">
        <v>600</v>
      </c>
      <c r="G46" s="7">
        <f t="shared" si="0"/>
        <v>1</v>
      </c>
      <c r="H46" s="13">
        <v>102</v>
      </c>
      <c r="I46" s="13">
        <v>195</v>
      </c>
      <c r="J46" s="13">
        <v>297</v>
      </c>
      <c r="K46" s="13">
        <v>1.2019999999999999E-4</v>
      </c>
    </row>
    <row r="47" spans="1:11" ht="176" customHeight="1" x14ac:dyDescent="0.15">
      <c r="A47" s="9">
        <v>6973</v>
      </c>
      <c r="B47" s="10" t="s">
        <v>141</v>
      </c>
      <c r="C47" s="11" t="s">
        <v>142</v>
      </c>
      <c r="D47" s="11" t="s">
        <v>143</v>
      </c>
      <c r="E47" s="13">
        <v>300</v>
      </c>
      <c r="F47" s="13">
        <v>300</v>
      </c>
      <c r="G47" s="7">
        <f t="shared" si="0"/>
        <v>1</v>
      </c>
      <c r="H47" s="13">
        <v>79</v>
      </c>
      <c r="I47" s="13">
        <v>229</v>
      </c>
      <c r="J47" s="13">
        <v>308</v>
      </c>
      <c r="K47" s="13">
        <v>1.02265E-4</v>
      </c>
    </row>
    <row r="48" spans="1:11" ht="152" customHeight="1" x14ac:dyDescent="0.15">
      <c r="A48" s="9">
        <v>7454</v>
      </c>
      <c r="B48" s="10" t="s">
        <v>144</v>
      </c>
      <c r="C48" s="11" t="s">
        <v>145</v>
      </c>
      <c r="D48" s="11" t="s">
        <v>146</v>
      </c>
      <c r="E48" s="12"/>
      <c r="F48" s="13">
        <v>20</v>
      </c>
      <c r="G48" s="7">
        <f t="shared" si="0"/>
        <v>0</v>
      </c>
      <c r="H48" s="13">
        <v>69</v>
      </c>
      <c r="I48" s="13">
        <v>156</v>
      </c>
      <c r="J48" s="13">
        <v>225</v>
      </c>
      <c r="K48" s="14">
        <v>5.6820000000000001E-5</v>
      </c>
    </row>
    <row r="49" spans="1:11" ht="92" customHeight="1" x14ac:dyDescent="0.15">
      <c r="A49" s="9">
        <v>3592</v>
      </c>
      <c r="B49" s="10" t="s">
        <v>147</v>
      </c>
      <c r="C49" s="11" t="s">
        <v>148</v>
      </c>
      <c r="D49" s="11" t="s">
        <v>149</v>
      </c>
      <c r="E49" s="13">
        <v>6</v>
      </c>
      <c r="F49" s="13">
        <v>6</v>
      </c>
      <c r="G49" s="7">
        <f t="shared" si="0"/>
        <v>1</v>
      </c>
      <c r="H49" s="13">
        <v>82</v>
      </c>
      <c r="I49" s="13">
        <v>120</v>
      </c>
      <c r="J49" s="13">
        <v>202</v>
      </c>
      <c r="K49" s="14">
        <v>7.8040000000000005E-5</v>
      </c>
    </row>
    <row r="50" spans="1:11" ht="188" customHeight="1" x14ac:dyDescent="0.15">
      <c r="A50" s="9">
        <v>5384</v>
      </c>
      <c r="B50" s="10" t="s">
        <v>150</v>
      </c>
      <c r="C50" s="11" t="s">
        <v>151</v>
      </c>
      <c r="D50" s="11" t="s">
        <v>152</v>
      </c>
      <c r="E50" s="13">
        <v>680</v>
      </c>
      <c r="F50" s="13">
        <v>680</v>
      </c>
      <c r="G50" s="7">
        <f t="shared" si="0"/>
        <v>1</v>
      </c>
      <c r="H50" s="13">
        <v>99</v>
      </c>
      <c r="I50" s="13">
        <v>195</v>
      </c>
      <c r="J50" s="13">
        <v>294</v>
      </c>
      <c r="K50" s="13">
        <v>4.6834200000000001E-4</v>
      </c>
    </row>
    <row r="51" spans="1:11" ht="212" customHeight="1" x14ac:dyDescent="0.15">
      <c r="A51" s="9">
        <v>2877</v>
      </c>
      <c r="B51" s="10" t="s">
        <v>153</v>
      </c>
      <c r="C51" s="11" t="s">
        <v>154</v>
      </c>
      <c r="D51" s="11" t="s">
        <v>155</v>
      </c>
      <c r="E51" s="13">
        <v>20</v>
      </c>
      <c r="F51" s="13">
        <v>20</v>
      </c>
      <c r="G51" s="7">
        <f t="shared" si="0"/>
        <v>1</v>
      </c>
      <c r="H51" s="13">
        <v>97</v>
      </c>
      <c r="I51" s="13">
        <v>207</v>
      </c>
      <c r="J51" s="13">
        <v>304</v>
      </c>
      <c r="K51" s="15">
        <v>9.5895000000000003E-5</v>
      </c>
    </row>
    <row r="52" spans="1:11" ht="152" customHeight="1" x14ac:dyDescent="0.15">
      <c r="A52" s="9">
        <v>997</v>
      </c>
      <c r="B52" s="10" t="s">
        <v>156</v>
      </c>
      <c r="C52" s="11" t="s">
        <v>157</v>
      </c>
      <c r="D52" s="11" t="s">
        <v>158</v>
      </c>
      <c r="E52" s="13">
        <v>4</v>
      </c>
      <c r="F52" s="13">
        <v>4</v>
      </c>
      <c r="G52" s="7">
        <f t="shared" si="0"/>
        <v>1</v>
      </c>
      <c r="H52" s="13">
        <v>160</v>
      </c>
      <c r="I52" s="13">
        <v>166</v>
      </c>
      <c r="J52" s="13">
        <v>326</v>
      </c>
      <c r="K52" s="14">
        <v>6.9120000000000002E-5</v>
      </c>
    </row>
    <row r="53" spans="1:11" ht="56" customHeight="1" x14ac:dyDescent="0.15">
      <c r="A53" s="9">
        <v>1042</v>
      </c>
      <c r="B53" s="10" t="s">
        <v>159</v>
      </c>
      <c r="C53" s="11" t="s">
        <v>160</v>
      </c>
      <c r="D53" s="11" t="s">
        <v>161</v>
      </c>
      <c r="E53" s="13">
        <v>30</v>
      </c>
      <c r="F53" s="13">
        <v>28</v>
      </c>
      <c r="G53" s="7">
        <f t="shared" si="0"/>
        <v>0</v>
      </c>
      <c r="H53" s="13">
        <v>71</v>
      </c>
      <c r="I53" s="13">
        <v>4</v>
      </c>
      <c r="J53" s="13">
        <v>75</v>
      </c>
      <c r="K53" s="14">
        <v>1.7620000000000001E-5</v>
      </c>
    </row>
    <row r="54" spans="1:11" ht="188" customHeight="1" x14ac:dyDescent="0.15">
      <c r="A54" s="9">
        <v>6394</v>
      </c>
      <c r="B54" s="10" t="s">
        <v>162</v>
      </c>
      <c r="C54" s="11" t="s">
        <v>163</v>
      </c>
      <c r="D54" s="11" t="s">
        <v>164</v>
      </c>
      <c r="E54" s="13">
        <v>48</v>
      </c>
      <c r="F54" s="13">
        <v>48</v>
      </c>
      <c r="G54" s="7">
        <f t="shared" si="0"/>
        <v>1</v>
      </c>
      <c r="H54" s="13">
        <v>77</v>
      </c>
      <c r="I54" s="13">
        <v>181</v>
      </c>
      <c r="J54" s="13">
        <v>258</v>
      </c>
      <c r="K54" s="15">
        <v>8.2794999999999996E-5</v>
      </c>
    </row>
    <row r="55" spans="1:11" ht="44" customHeight="1" x14ac:dyDescent="0.15">
      <c r="A55" s="9">
        <v>6558</v>
      </c>
      <c r="B55" s="10" t="s">
        <v>165</v>
      </c>
      <c r="C55" s="11" t="s">
        <v>166</v>
      </c>
      <c r="D55" s="11" t="s">
        <v>167</v>
      </c>
      <c r="E55" s="12"/>
      <c r="F55" s="13">
        <v>15</v>
      </c>
      <c r="G55" s="7">
        <f t="shared" si="0"/>
        <v>0</v>
      </c>
      <c r="H55" s="13">
        <v>73</v>
      </c>
      <c r="I55" s="13">
        <v>4</v>
      </c>
      <c r="J55" s="13">
        <v>77</v>
      </c>
      <c r="K55" s="15">
        <v>3.0400999999999999E-5</v>
      </c>
    </row>
    <row r="56" spans="1:11" ht="116" customHeight="1" x14ac:dyDescent="0.15">
      <c r="A56" s="9">
        <v>2022</v>
      </c>
      <c r="B56" s="10" t="s">
        <v>168</v>
      </c>
      <c r="C56" s="11" t="s">
        <v>169</v>
      </c>
      <c r="D56" s="11" t="s">
        <v>170</v>
      </c>
      <c r="E56" s="13">
        <v>4</v>
      </c>
      <c r="F56" s="13">
        <v>4</v>
      </c>
      <c r="G56" s="7">
        <f t="shared" si="0"/>
        <v>1</v>
      </c>
      <c r="H56" s="13">
        <v>102</v>
      </c>
      <c r="I56" s="13">
        <v>143</v>
      </c>
      <c r="J56" s="13">
        <v>245</v>
      </c>
      <c r="K56" s="14">
        <v>5.596E-5</v>
      </c>
    </row>
    <row r="57" spans="1:11" ht="200" customHeight="1" x14ac:dyDescent="0.15">
      <c r="A57" s="9">
        <v>7119</v>
      </c>
      <c r="B57" s="10" t="s">
        <v>171</v>
      </c>
      <c r="C57" s="11" t="s">
        <v>172</v>
      </c>
      <c r="D57" s="11" t="s">
        <v>173</v>
      </c>
      <c r="E57" s="13">
        <v>7</v>
      </c>
      <c r="F57" s="13">
        <v>7</v>
      </c>
      <c r="G57" s="7">
        <f t="shared" si="0"/>
        <v>1</v>
      </c>
      <c r="H57" s="13">
        <v>104</v>
      </c>
      <c r="I57" s="13">
        <v>184</v>
      </c>
      <c r="J57" s="13">
        <v>288</v>
      </c>
      <c r="K57" s="14">
        <v>8.7639999999999994E-5</v>
      </c>
    </row>
    <row r="58" spans="1:11" ht="140" customHeight="1" x14ac:dyDescent="0.15">
      <c r="A58" s="9">
        <v>3017</v>
      </c>
      <c r="B58" s="10" t="s">
        <v>174</v>
      </c>
      <c r="C58" s="11" t="s">
        <v>175</v>
      </c>
      <c r="D58" s="11" t="s">
        <v>176</v>
      </c>
      <c r="E58" s="12"/>
      <c r="F58" s="13">
        <v>4</v>
      </c>
      <c r="G58" s="7">
        <f t="shared" si="0"/>
        <v>0</v>
      </c>
      <c r="H58" s="13">
        <v>69</v>
      </c>
      <c r="I58" s="13">
        <v>138</v>
      </c>
      <c r="J58" s="13">
        <v>207</v>
      </c>
      <c r="K58" s="14">
        <v>5.1060000000000002E-5</v>
      </c>
    </row>
    <row r="59" spans="1:11" ht="212" customHeight="1" x14ac:dyDescent="0.15">
      <c r="A59" s="9">
        <v>6888</v>
      </c>
      <c r="B59" s="10" t="s">
        <v>177</v>
      </c>
      <c r="C59" s="11" t="s">
        <v>178</v>
      </c>
      <c r="D59" s="11" t="s">
        <v>179</v>
      </c>
      <c r="E59" s="13">
        <v>2</v>
      </c>
      <c r="F59" s="13">
        <v>2</v>
      </c>
      <c r="G59" s="7">
        <f t="shared" si="0"/>
        <v>1</v>
      </c>
      <c r="H59" s="13">
        <v>83</v>
      </c>
      <c r="I59" s="13">
        <v>208</v>
      </c>
      <c r="J59" s="13">
        <v>291</v>
      </c>
      <c r="K59" s="15">
        <v>9.4405000000000002E-5</v>
      </c>
    </row>
    <row r="60" spans="1:11" ht="188" customHeight="1" x14ac:dyDescent="0.15">
      <c r="A60" s="9">
        <v>6750</v>
      </c>
      <c r="B60" s="10" t="s">
        <v>180</v>
      </c>
      <c r="C60" s="11" t="s">
        <v>181</v>
      </c>
      <c r="D60" s="11" t="s">
        <v>182</v>
      </c>
      <c r="E60" s="13">
        <v>13</v>
      </c>
      <c r="F60" s="13">
        <v>13</v>
      </c>
      <c r="G60" s="7">
        <f t="shared" si="0"/>
        <v>1</v>
      </c>
      <c r="H60" s="13">
        <v>92</v>
      </c>
      <c r="I60" s="13">
        <v>175</v>
      </c>
      <c r="J60" s="13">
        <v>267</v>
      </c>
      <c r="K60" s="16">
        <v>6.5199999999999999E-5</v>
      </c>
    </row>
    <row r="61" spans="1:11" ht="368" customHeight="1" x14ac:dyDescent="0.15">
      <c r="A61" s="9">
        <v>1894</v>
      </c>
      <c r="B61" s="10" t="s">
        <v>183</v>
      </c>
      <c r="C61" s="11" t="s">
        <v>184</v>
      </c>
      <c r="D61" s="11" t="s">
        <v>185</v>
      </c>
      <c r="E61" s="13">
        <v>4</v>
      </c>
      <c r="F61" s="13">
        <v>4</v>
      </c>
      <c r="G61" s="7">
        <f t="shared" si="0"/>
        <v>1</v>
      </c>
      <c r="H61" s="13">
        <v>164</v>
      </c>
      <c r="I61" s="13">
        <v>446</v>
      </c>
      <c r="J61" s="13">
        <v>610</v>
      </c>
      <c r="K61" s="13">
        <v>1.5912000000000001E-4</v>
      </c>
    </row>
    <row r="62" spans="1:11" ht="212" customHeight="1" x14ac:dyDescent="0.15">
      <c r="A62" s="9">
        <v>6281</v>
      </c>
      <c r="B62" s="10" t="s">
        <v>186</v>
      </c>
      <c r="C62" s="11" t="s">
        <v>187</v>
      </c>
      <c r="D62" s="11" t="s">
        <v>188</v>
      </c>
      <c r="E62" s="13">
        <v>16</v>
      </c>
      <c r="F62" s="13">
        <v>16</v>
      </c>
      <c r="G62" s="7">
        <f t="shared" si="0"/>
        <v>1</v>
      </c>
      <c r="H62" s="13">
        <v>64</v>
      </c>
      <c r="I62" s="13">
        <v>246</v>
      </c>
      <c r="J62" s="13">
        <v>310</v>
      </c>
      <c r="K62" s="14">
        <v>8.5119999999999998E-5</v>
      </c>
    </row>
    <row r="63" spans="1:11" ht="68" customHeight="1" x14ac:dyDescent="0.15">
      <c r="A63" s="9">
        <v>1886</v>
      </c>
      <c r="B63" s="10" t="s">
        <v>189</v>
      </c>
      <c r="C63" s="11" t="s">
        <v>190</v>
      </c>
      <c r="D63" s="11" t="s">
        <v>191</v>
      </c>
      <c r="E63" s="12"/>
      <c r="F63" s="13">
        <v>5</v>
      </c>
      <c r="G63" s="7">
        <f t="shared" si="0"/>
        <v>0</v>
      </c>
      <c r="H63" s="13">
        <v>75</v>
      </c>
      <c r="I63" s="13">
        <v>94</v>
      </c>
      <c r="J63" s="13">
        <v>169</v>
      </c>
      <c r="K63" s="16">
        <v>6.3499999999999999E-5</v>
      </c>
    </row>
    <row r="64" spans="1:11" ht="200" customHeight="1" x14ac:dyDescent="0.15">
      <c r="A64" s="9">
        <v>3875</v>
      </c>
      <c r="B64" s="10" t="s">
        <v>192</v>
      </c>
      <c r="C64" s="11" t="s">
        <v>193</v>
      </c>
      <c r="D64" s="11" t="s">
        <v>194</v>
      </c>
      <c r="E64" s="13">
        <v>2</v>
      </c>
      <c r="F64" s="13">
        <v>2</v>
      </c>
      <c r="G64" s="7">
        <f t="shared" si="0"/>
        <v>1</v>
      </c>
      <c r="H64" s="13">
        <v>151</v>
      </c>
      <c r="I64" s="13">
        <v>225</v>
      </c>
      <c r="J64" s="13">
        <v>376</v>
      </c>
      <c r="K64" s="13">
        <v>5.5116799999999999E-4</v>
      </c>
    </row>
    <row r="65" spans="1:11" ht="116" customHeight="1" x14ac:dyDescent="0.15">
      <c r="A65" s="9">
        <v>2664</v>
      </c>
      <c r="B65" s="10" t="s">
        <v>195</v>
      </c>
      <c r="C65" s="11" t="s">
        <v>196</v>
      </c>
      <c r="D65" s="11" t="s">
        <v>197</v>
      </c>
      <c r="E65" s="13">
        <v>9</v>
      </c>
      <c r="F65" s="13">
        <v>9</v>
      </c>
      <c r="G65" s="7">
        <f t="shared" si="0"/>
        <v>1</v>
      </c>
      <c r="H65" s="13">
        <v>57</v>
      </c>
      <c r="I65" s="13">
        <v>111</v>
      </c>
      <c r="J65" s="13">
        <v>168</v>
      </c>
      <c r="K65" s="14">
        <v>4.1220000000000002E-5</v>
      </c>
    </row>
    <row r="66" spans="1:11" ht="56" customHeight="1" x14ac:dyDescent="0.15">
      <c r="A66" s="9">
        <v>3955</v>
      </c>
      <c r="B66" s="10" t="s">
        <v>198</v>
      </c>
      <c r="C66" s="11" t="s">
        <v>199</v>
      </c>
      <c r="D66" s="11" t="s">
        <v>200</v>
      </c>
      <c r="E66" s="12"/>
      <c r="F66" s="13">
        <v>2</v>
      </c>
      <c r="G66" s="7">
        <f t="shared" si="0"/>
        <v>0</v>
      </c>
      <c r="H66" s="13">
        <v>92</v>
      </c>
      <c r="I66" s="13">
        <v>4</v>
      </c>
      <c r="J66" s="13">
        <v>96</v>
      </c>
      <c r="K66" s="14">
        <v>1.048E-5</v>
      </c>
    </row>
    <row r="67" spans="1:11" ht="152" customHeight="1" x14ac:dyDescent="0.15">
      <c r="A67" s="9">
        <v>2540</v>
      </c>
      <c r="B67" s="10" t="s">
        <v>201</v>
      </c>
      <c r="C67" s="11" t="s">
        <v>202</v>
      </c>
      <c r="D67" s="11" t="s">
        <v>203</v>
      </c>
      <c r="E67" s="13">
        <v>8000</v>
      </c>
      <c r="F67" s="13">
        <v>8000</v>
      </c>
      <c r="G67" s="7">
        <f t="shared" si="0"/>
        <v>1</v>
      </c>
      <c r="H67" s="13">
        <v>66</v>
      </c>
      <c r="I67" s="13">
        <v>136</v>
      </c>
      <c r="J67" s="13">
        <v>202</v>
      </c>
      <c r="K67" s="14">
        <v>6.3310000000000002E-5</v>
      </c>
    </row>
    <row r="68" spans="1:11" ht="56" customHeight="1" x14ac:dyDescent="0.15">
      <c r="A68" s="9">
        <v>5661</v>
      </c>
      <c r="B68" s="10" t="s">
        <v>204</v>
      </c>
      <c r="C68" s="11" t="s">
        <v>205</v>
      </c>
      <c r="D68" s="11" t="s">
        <v>206</v>
      </c>
      <c r="E68" s="12"/>
      <c r="F68" s="13">
        <v>420</v>
      </c>
      <c r="G68" s="7">
        <f t="shared" ref="G68:G131" si="1">IF(OR(ISBLANK(E68), ISBLANK(F68)), 0, IF(E68=F68, 1, 0))</f>
        <v>0</v>
      </c>
      <c r="H68" s="13">
        <v>99</v>
      </c>
      <c r="I68" s="13">
        <v>6</v>
      </c>
      <c r="J68" s="13">
        <v>105</v>
      </c>
      <c r="K68" s="15">
        <v>4.2524999999999997E-5</v>
      </c>
    </row>
    <row r="69" spans="1:11" ht="260" customHeight="1" x14ac:dyDescent="0.15">
      <c r="A69" s="9">
        <v>5921</v>
      </c>
      <c r="B69" s="10" t="s">
        <v>207</v>
      </c>
      <c r="C69" s="11" t="s">
        <v>208</v>
      </c>
      <c r="D69" s="11" t="s">
        <v>209</v>
      </c>
      <c r="E69" s="12"/>
      <c r="F69" s="13">
        <v>10</v>
      </c>
      <c r="G69" s="7">
        <f t="shared" si="1"/>
        <v>0</v>
      </c>
      <c r="H69" s="13">
        <v>118</v>
      </c>
      <c r="I69" s="13">
        <v>280</v>
      </c>
      <c r="J69" s="13">
        <v>398</v>
      </c>
      <c r="K69" s="13">
        <v>1.014E-4</v>
      </c>
    </row>
    <row r="70" spans="1:11" ht="44" customHeight="1" x14ac:dyDescent="0.15">
      <c r="A70" s="9">
        <v>132</v>
      </c>
      <c r="B70" s="10" t="s">
        <v>210</v>
      </c>
      <c r="C70" s="11" t="s">
        <v>211</v>
      </c>
      <c r="D70" s="11" t="s">
        <v>212</v>
      </c>
      <c r="E70" s="12"/>
      <c r="F70" s="13">
        <v>110</v>
      </c>
      <c r="G70" s="7">
        <f t="shared" si="1"/>
        <v>0</v>
      </c>
      <c r="H70" s="13">
        <v>60</v>
      </c>
      <c r="I70" s="13">
        <v>6</v>
      </c>
      <c r="J70" s="13">
        <v>66</v>
      </c>
      <c r="K70" s="16">
        <v>1.0499999999999999E-5</v>
      </c>
    </row>
    <row r="71" spans="1:11" ht="140" customHeight="1" x14ac:dyDescent="0.15">
      <c r="A71" s="9">
        <v>1084</v>
      </c>
      <c r="B71" s="10" t="s">
        <v>213</v>
      </c>
      <c r="C71" s="11" t="s">
        <v>214</v>
      </c>
      <c r="D71" s="11" t="s">
        <v>215</v>
      </c>
      <c r="E71" s="12"/>
      <c r="F71" s="13">
        <v>8</v>
      </c>
      <c r="G71" s="7">
        <f t="shared" si="1"/>
        <v>0</v>
      </c>
      <c r="H71" s="13">
        <v>71</v>
      </c>
      <c r="I71" s="13">
        <v>142</v>
      </c>
      <c r="J71" s="13">
        <v>213</v>
      </c>
      <c r="K71" s="14">
        <v>5.2540000000000002E-5</v>
      </c>
    </row>
    <row r="72" spans="1:11" ht="188" customHeight="1" x14ac:dyDescent="0.15">
      <c r="A72" s="9">
        <v>4696</v>
      </c>
      <c r="B72" s="10" t="s">
        <v>216</v>
      </c>
      <c r="C72" s="11" t="s">
        <v>217</v>
      </c>
      <c r="D72" s="11" t="s">
        <v>218</v>
      </c>
      <c r="E72" s="13">
        <v>195</v>
      </c>
      <c r="F72" s="13">
        <v>195</v>
      </c>
      <c r="G72" s="7">
        <f t="shared" si="1"/>
        <v>1</v>
      </c>
      <c r="H72" s="13">
        <v>84</v>
      </c>
      <c r="I72" s="13">
        <v>203</v>
      </c>
      <c r="J72" s="13">
        <v>287</v>
      </c>
      <c r="K72" s="14">
        <v>9.2540000000000005E-5</v>
      </c>
    </row>
    <row r="73" spans="1:11" ht="212" customHeight="1" x14ac:dyDescent="0.15">
      <c r="A73" s="9">
        <v>169</v>
      </c>
      <c r="B73" s="10" t="s">
        <v>219</v>
      </c>
      <c r="C73" s="11" t="s">
        <v>220</v>
      </c>
      <c r="D73" s="11" t="s">
        <v>221</v>
      </c>
      <c r="E73" s="13">
        <v>216</v>
      </c>
      <c r="F73" s="13">
        <v>216</v>
      </c>
      <c r="G73" s="7">
        <f t="shared" si="1"/>
        <v>1</v>
      </c>
      <c r="H73" s="13">
        <v>66</v>
      </c>
      <c r="I73" s="13">
        <v>187</v>
      </c>
      <c r="J73" s="13">
        <v>253</v>
      </c>
      <c r="K73" s="14">
        <v>8.3709999999999996E-5</v>
      </c>
    </row>
    <row r="74" spans="1:11" ht="44" customHeight="1" x14ac:dyDescent="0.15">
      <c r="A74" s="9">
        <v>465</v>
      </c>
      <c r="B74" s="10" t="s">
        <v>222</v>
      </c>
      <c r="C74" s="11" t="s">
        <v>223</v>
      </c>
      <c r="D74" s="11" t="s">
        <v>224</v>
      </c>
      <c r="E74" s="12"/>
      <c r="F74" s="13">
        <v>5</v>
      </c>
      <c r="G74" s="7">
        <f t="shared" si="1"/>
        <v>0</v>
      </c>
      <c r="H74" s="13">
        <v>125</v>
      </c>
      <c r="I74" s="13">
        <v>3</v>
      </c>
      <c r="J74" s="13">
        <v>128</v>
      </c>
      <c r="K74" s="16">
        <v>3.3500000000000001E-5</v>
      </c>
    </row>
    <row r="75" spans="1:11" ht="260" customHeight="1" x14ac:dyDescent="0.15">
      <c r="A75" s="9">
        <v>468</v>
      </c>
      <c r="B75" s="10" t="s">
        <v>225</v>
      </c>
      <c r="C75" s="11" t="s">
        <v>226</v>
      </c>
      <c r="D75" s="11" t="s">
        <v>227</v>
      </c>
      <c r="E75" s="13">
        <v>504</v>
      </c>
      <c r="F75" s="13">
        <v>504</v>
      </c>
      <c r="G75" s="7">
        <f t="shared" si="1"/>
        <v>1</v>
      </c>
      <c r="H75" s="13">
        <v>107</v>
      </c>
      <c r="I75" s="13">
        <v>282</v>
      </c>
      <c r="J75" s="13">
        <v>389</v>
      </c>
      <c r="K75" s="13">
        <v>1.2724500000000001E-4</v>
      </c>
    </row>
    <row r="76" spans="1:11" ht="140" customHeight="1" x14ac:dyDescent="0.15">
      <c r="A76" s="9">
        <v>5328</v>
      </c>
      <c r="B76" s="10" t="s">
        <v>228</v>
      </c>
      <c r="C76" s="11" t="s">
        <v>229</v>
      </c>
      <c r="D76" s="11" t="s">
        <v>230</v>
      </c>
      <c r="E76" s="12"/>
      <c r="F76" s="13">
        <v>33</v>
      </c>
      <c r="G76" s="7">
        <f t="shared" si="1"/>
        <v>0</v>
      </c>
      <c r="H76" s="13">
        <v>102</v>
      </c>
      <c r="I76" s="13">
        <v>154</v>
      </c>
      <c r="J76" s="13">
        <v>256</v>
      </c>
      <c r="K76" s="13">
        <v>2.6624E-4</v>
      </c>
    </row>
    <row r="77" spans="1:11" ht="308" customHeight="1" x14ac:dyDescent="0.15">
      <c r="A77" s="9">
        <v>457</v>
      </c>
      <c r="B77" s="10" t="s">
        <v>231</v>
      </c>
      <c r="C77" s="11" t="s">
        <v>232</v>
      </c>
      <c r="D77" s="11" t="s">
        <v>233</v>
      </c>
      <c r="E77" s="13">
        <v>324</v>
      </c>
      <c r="F77" s="13">
        <v>324</v>
      </c>
      <c r="G77" s="7">
        <f t="shared" si="1"/>
        <v>1</v>
      </c>
      <c r="H77" s="13">
        <v>94</v>
      </c>
      <c r="I77" s="13">
        <v>311</v>
      </c>
      <c r="J77" s="13">
        <v>405</v>
      </c>
      <c r="K77" s="13">
        <v>1.0891999999999999E-4</v>
      </c>
    </row>
    <row r="78" spans="1:11" ht="176" customHeight="1" x14ac:dyDescent="0.15">
      <c r="A78" s="9">
        <v>6093</v>
      </c>
      <c r="B78" s="10" t="s">
        <v>234</v>
      </c>
      <c r="C78" s="11" t="s">
        <v>235</v>
      </c>
      <c r="D78" s="11" t="s">
        <v>236</v>
      </c>
      <c r="E78" s="13">
        <v>45</v>
      </c>
      <c r="F78" s="13">
        <v>45</v>
      </c>
      <c r="G78" s="7">
        <f t="shared" si="1"/>
        <v>1</v>
      </c>
      <c r="H78" s="13">
        <v>81</v>
      </c>
      <c r="I78" s="13">
        <v>185</v>
      </c>
      <c r="J78" s="13">
        <v>266</v>
      </c>
      <c r="K78" s="15">
        <v>8.4934999999999999E-5</v>
      </c>
    </row>
    <row r="79" spans="1:11" ht="56" customHeight="1" x14ac:dyDescent="0.15">
      <c r="A79" s="9">
        <v>6280</v>
      </c>
      <c r="B79" s="10" t="s">
        <v>237</v>
      </c>
      <c r="C79" s="11" t="s">
        <v>238</v>
      </c>
      <c r="D79" s="11" t="s">
        <v>239</v>
      </c>
      <c r="E79" s="12"/>
      <c r="F79" s="13">
        <v>50</v>
      </c>
      <c r="G79" s="7">
        <f t="shared" si="1"/>
        <v>0</v>
      </c>
      <c r="H79" s="13">
        <v>79</v>
      </c>
      <c r="I79" s="13">
        <v>6</v>
      </c>
      <c r="J79" s="13">
        <v>85</v>
      </c>
      <c r="K79" s="16">
        <v>9.8199999999999992E-6</v>
      </c>
    </row>
    <row r="80" spans="1:11" ht="200" customHeight="1" x14ac:dyDescent="0.15">
      <c r="A80" s="9">
        <v>6637</v>
      </c>
      <c r="B80" s="10" t="s">
        <v>240</v>
      </c>
      <c r="C80" s="11" t="s">
        <v>241</v>
      </c>
      <c r="D80" s="11" t="s">
        <v>242</v>
      </c>
      <c r="E80" s="13">
        <v>1600</v>
      </c>
      <c r="F80" s="13">
        <v>1600</v>
      </c>
      <c r="G80" s="7">
        <f t="shared" si="1"/>
        <v>1</v>
      </c>
      <c r="H80" s="13">
        <v>54</v>
      </c>
      <c r="I80" s="13">
        <v>179</v>
      </c>
      <c r="J80" s="13">
        <v>233</v>
      </c>
      <c r="K80" s="13">
        <v>2.4232E-4</v>
      </c>
    </row>
    <row r="81" spans="1:11" ht="128" customHeight="1" x14ac:dyDescent="0.15">
      <c r="A81" s="9">
        <v>3685</v>
      </c>
      <c r="B81" s="10" t="s">
        <v>243</v>
      </c>
      <c r="C81" s="11" t="s">
        <v>244</v>
      </c>
      <c r="D81" s="11" t="s">
        <v>245</v>
      </c>
      <c r="E81" s="13">
        <v>307</v>
      </c>
      <c r="F81" s="13">
        <v>307</v>
      </c>
      <c r="G81" s="7">
        <f t="shared" si="1"/>
        <v>1</v>
      </c>
      <c r="H81" s="13">
        <v>61</v>
      </c>
      <c r="I81" s="13">
        <v>132</v>
      </c>
      <c r="J81" s="13">
        <v>193</v>
      </c>
      <c r="K81" s="14">
        <v>4.8340000000000001E-5</v>
      </c>
    </row>
    <row r="82" spans="1:11" ht="212" customHeight="1" x14ac:dyDescent="0.15">
      <c r="A82" s="9">
        <v>3143</v>
      </c>
      <c r="B82" s="10" t="s">
        <v>246</v>
      </c>
      <c r="C82" s="11" t="s">
        <v>247</v>
      </c>
      <c r="D82" s="11" t="s">
        <v>248</v>
      </c>
      <c r="E82" s="13">
        <v>25</v>
      </c>
      <c r="F82" s="13">
        <v>25</v>
      </c>
      <c r="G82" s="7">
        <f t="shared" si="1"/>
        <v>1</v>
      </c>
      <c r="H82" s="13">
        <v>94</v>
      </c>
      <c r="I82" s="13">
        <v>220</v>
      </c>
      <c r="J82" s="13">
        <v>314</v>
      </c>
      <c r="K82" s="13">
        <v>1.3067999999999999E-4</v>
      </c>
    </row>
    <row r="83" spans="1:11" ht="236" customHeight="1" x14ac:dyDescent="0.15">
      <c r="A83" s="9">
        <v>1022</v>
      </c>
      <c r="B83" s="10" t="s">
        <v>249</v>
      </c>
      <c r="C83" s="11" t="s">
        <v>250</v>
      </c>
      <c r="D83" s="11" t="s">
        <v>251</v>
      </c>
      <c r="E83" s="13">
        <v>19</v>
      </c>
      <c r="F83" s="13">
        <v>19</v>
      </c>
      <c r="G83" s="7">
        <f t="shared" si="1"/>
        <v>1</v>
      </c>
      <c r="H83" s="13">
        <v>49</v>
      </c>
      <c r="I83" s="13">
        <v>261</v>
      </c>
      <c r="J83" s="13">
        <v>310</v>
      </c>
      <c r="K83" s="14">
        <v>8.8419999999999997E-5</v>
      </c>
    </row>
    <row r="84" spans="1:11" ht="44" customHeight="1" x14ac:dyDescent="0.15">
      <c r="A84" s="9">
        <v>2942</v>
      </c>
      <c r="B84" s="10" t="s">
        <v>252</v>
      </c>
      <c r="C84" s="11" t="s">
        <v>253</v>
      </c>
      <c r="D84" s="11" t="s">
        <v>254</v>
      </c>
      <c r="E84" s="12"/>
      <c r="F84" s="13">
        <v>9000</v>
      </c>
      <c r="G84" s="7">
        <f t="shared" si="1"/>
        <v>0</v>
      </c>
      <c r="H84" s="13">
        <v>70</v>
      </c>
      <c r="I84" s="13">
        <v>7</v>
      </c>
      <c r="J84" s="13">
        <v>77</v>
      </c>
      <c r="K84" s="14">
        <v>1.225E-5</v>
      </c>
    </row>
    <row r="85" spans="1:11" ht="200" customHeight="1" x14ac:dyDescent="0.15">
      <c r="A85" s="9">
        <v>3043</v>
      </c>
      <c r="B85" s="10" t="s">
        <v>255</v>
      </c>
      <c r="C85" s="11" t="s">
        <v>256</v>
      </c>
      <c r="D85" s="11" t="s">
        <v>257</v>
      </c>
      <c r="E85" s="13">
        <v>28</v>
      </c>
      <c r="F85" s="13">
        <v>28</v>
      </c>
      <c r="G85" s="7">
        <f t="shared" si="1"/>
        <v>1</v>
      </c>
      <c r="H85" s="13">
        <v>73</v>
      </c>
      <c r="I85" s="13">
        <v>172</v>
      </c>
      <c r="J85" s="13">
        <v>245</v>
      </c>
      <c r="K85" s="13">
        <v>1.0206E-4</v>
      </c>
    </row>
    <row r="86" spans="1:11" ht="188" customHeight="1" x14ac:dyDescent="0.15">
      <c r="A86" s="9">
        <v>4789</v>
      </c>
      <c r="B86" s="10" t="s">
        <v>258</v>
      </c>
      <c r="C86" s="11" t="s">
        <v>259</v>
      </c>
      <c r="D86" s="11" t="s">
        <v>260</v>
      </c>
      <c r="E86" s="13">
        <v>9</v>
      </c>
      <c r="F86" s="13">
        <v>9</v>
      </c>
      <c r="G86" s="7">
        <f t="shared" si="1"/>
        <v>1</v>
      </c>
      <c r="H86" s="13">
        <v>110</v>
      </c>
      <c r="I86" s="13">
        <v>183</v>
      </c>
      <c r="J86" s="13">
        <v>293</v>
      </c>
      <c r="K86" s="14">
        <v>6.9560000000000005E-5</v>
      </c>
    </row>
    <row r="87" spans="1:11" ht="44" customHeight="1" x14ac:dyDescent="0.15">
      <c r="A87" s="9">
        <v>4634</v>
      </c>
      <c r="B87" s="10" t="s">
        <v>261</v>
      </c>
      <c r="C87" s="11" t="s">
        <v>262</v>
      </c>
      <c r="D87" s="11" t="s">
        <v>263</v>
      </c>
      <c r="E87" s="13">
        <v>9724</v>
      </c>
      <c r="F87" s="13">
        <v>9724</v>
      </c>
      <c r="G87" s="7">
        <f t="shared" si="1"/>
        <v>1</v>
      </c>
      <c r="H87" s="13">
        <v>76</v>
      </c>
      <c r="I87" s="13">
        <v>29</v>
      </c>
      <c r="J87" s="13">
        <v>105</v>
      </c>
      <c r="K87" s="14">
        <v>2.868E-5</v>
      </c>
    </row>
    <row r="88" spans="1:11" ht="248" customHeight="1" x14ac:dyDescent="0.15">
      <c r="A88" s="9">
        <v>230</v>
      </c>
      <c r="B88" s="10" t="s">
        <v>264</v>
      </c>
      <c r="C88" s="11" t="s">
        <v>265</v>
      </c>
      <c r="D88" s="11" t="s">
        <v>266</v>
      </c>
      <c r="E88" s="13">
        <v>60</v>
      </c>
      <c r="F88" s="13">
        <v>60</v>
      </c>
      <c r="G88" s="7">
        <f t="shared" si="1"/>
        <v>1</v>
      </c>
      <c r="H88" s="13">
        <v>95</v>
      </c>
      <c r="I88" s="13">
        <v>267</v>
      </c>
      <c r="J88" s="13">
        <v>362</v>
      </c>
      <c r="K88" s="13">
        <v>1.5440000000000001E-4</v>
      </c>
    </row>
    <row r="89" spans="1:11" ht="212" customHeight="1" x14ac:dyDescent="0.15">
      <c r="A89" s="9">
        <v>7048</v>
      </c>
      <c r="B89" s="10" t="s">
        <v>267</v>
      </c>
      <c r="C89" s="11" t="s">
        <v>268</v>
      </c>
      <c r="D89" s="11" t="s">
        <v>269</v>
      </c>
      <c r="E89" s="13">
        <v>5</v>
      </c>
      <c r="F89" s="13">
        <v>5</v>
      </c>
      <c r="G89" s="7">
        <f t="shared" si="1"/>
        <v>1</v>
      </c>
      <c r="H89" s="13">
        <v>57</v>
      </c>
      <c r="I89" s="13">
        <v>132</v>
      </c>
      <c r="J89" s="13">
        <v>189</v>
      </c>
      <c r="K89" s="15">
        <v>6.0495000000000003E-5</v>
      </c>
    </row>
    <row r="90" spans="1:11" ht="176" customHeight="1" x14ac:dyDescent="0.15">
      <c r="A90" s="9">
        <v>1656</v>
      </c>
      <c r="B90" s="10" t="s">
        <v>270</v>
      </c>
      <c r="C90" s="11" t="s">
        <v>271</v>
      </c>
      <c r="D90" s="11" t="s">
        <v>272</v>
      </c>
      <c r="E90" s="13">
        <v>400</v>
      </c>
      <c r="F90" s="13">
        <v>400</v>
      </c>
      <c r="G90" s="7">
        <f t="shared" si="1"/>
        <v>1</v>
      </c>
      <c r="H90" s="13">
        <v>108</v>
      </c>
      <c r="I90" s="13">
        <v>185</v>
      </c>
      <c r="J90" s="13">
        <v>293</v>
      </c>
      <c r="K90" s="13">
        <v>1.1626E-4</v>
      </c>
    </row>
    <row r="91" spans="1:11" ht="272" customHeight="1" x14ac:dyDescent="0.15">
      <c r="A91" s="9">
        <v>4100</v>
      </c>
      <c r="B91" s="10" t="s">
        <v>273</v>
      </c>
      <c r="C91" s="11" t="s">
        <v>274</v>
      </c>
      <c r="D91" s="11" t="s">
        <v>275</v>
      </c>
      <c r="E91" s="13">
        <v>6</v>
      </c>
      <c r="F91" s="13">
        <v>6</v>
      </c>
      <c r="G91" s="7">
        <f t="shared" si="1"/>
        <v>1</v>
      </c>
      <c r="H91" s="13">
        <v>85</v>
      </c>
      <c r="I91" s="13">
        <v>255</v>
      </c>
      <c r="J91" s="13">
        <v>340</v>
      </c>
      <c r="K91" s="13">
        <v>2.1249999999999999E-4</v>
      </c>
    </row>
    <row r="92" spans="1:11" ht="44" customHeight="1" x14ac:dyDescent="0.15">
      <c r="A92" s="9">
        <v>3357</v>
      </c>
      <c r="B92" s="10" t="s">
        <v>276</v>
      </c>
      <c r="C92" s="11" t="s">
        <v>277</v>
      </c>
      <c r="D92" s="11" t="s">
        <v>278</v>
      </c>
      <c r="E92" s="12">
        <v>10</v>
      </c>
      <c r="F92" s="13">
        <v>10</v>
      </c>
      <c r="G92" s="7">
        <f t="shared" si="1"/>
        <v>1</v>
      </c>
      <c r="H92" s="13">
        <v>60</v>
      </c>
      <c r="I92" s="13">
        <v>4</v>
      </c>
      <c r="J92" s="13">
        <v>64</v>
      </c>
      <c r="K92" s="16">
        <v>7.2799999999999998E-6</v>
      </c>
    </row>
    <row r="93" spans="1:11" ht="200" customHeight="1" x14ac:dyDescent="0.15">
      <c r="A93" s="9">
        <v>5863</v>
      </c>
      <c r="B93" s="10" t="s">
        <v>279</v>
      </c>
      <c r="C93" s="11" t="s">
        <v>280</v>
      </c>
      <c r="D93" s="11" t="s">
        <v>281</v>
      </c>
      <c r="E93" s="13">
        <v>18</v>
      </c>
      <c r="F93" s="13">
        <v>18</v>
      </c>
      <c r="G93" s="7">
        <f t="shared" si="1"/>
        <v>1</v>
      </c>
      <c r="H93" s="13">
        <v>84</v>
      </c>
      <c r="I93" s="13">
        <v>184</v>
      </c>
      <c r="J93" s="13">
        <v>268</v>
      </c>
      <c r="K93" s="14">
        <v>6.7280000000000006E-5</v>
      </c>
    </row>
    <row r="94" spans="1:11" ht="140" customHeight="1" x14ac:dyDescent="0.15">
      <c r="A94" s="9">
        <v>6032</v>
      </c>
      <c r="B94" s="10" t="s">
        <v>282</v>
      </c>
      <c r="C94" s="11" t="s">
        <v>283</v>
      </c>
      <c r="D94" s="11" t="s">
        <v>284</v>
      </c>
      <c r="E94" s="13">
        <v>11</v>
      </c>
      <c r="F94" s="13">
        <v>11</v>
      </c>
      <c r="G94" s="7">
        <f t="shared" si="1"/>
        <v>1</v>
      </c>
      <c r="H94" s="13">
        <v>64</v>
      </c>
      <c r="I94" s="13">
        <v>152</v>
      </c>
      <c r="J94" s="13">
        <v>216</v>
      </c>
      <c r="K94" s="13">
        <v>2.2463999999999999E-4</v>
      </c>
    </row>
    <row r="95" spans="1:11" ht="104" customHeight="1" x14ac:dyDescent="0.15">
      <c r="A95" s="9">
        <v>6941</v>
      </c>
      <c r="B95" s="10" t="s">
        <v>285</v>
      </c>
      <c r="C95" s="11" t="s">
        <v>286</v>
      </c>
      <c r="D95" s="11" t="s">
        <v>287</v>
      </c>
      <c r="E95" s="13">
        <v>60</v>
      </c>
      <c r="F95" s="13">
        <v>60</v>
      </c>
      <c r="G95" s="7">
        <f t="shared" si="1"/>
        <v>1</v>
      </c>
      <c r="H95" s="13">
        <v>72</v>
      </c>
      <c r="I95" s="13">
        <v>104</v>
      </c>
      <c r="J95" s="13">
        <v>176</v>
      </c>
      <c r="K95" s="14">
        <v>4.0479999999999999E-5</v>
      </c>
    </row>
    <row r="96" spans="1:11" ht="224" customHeight="1" x14ac:dyDescent="0.15">
      <c r="A96" s="9">
        <v>1172</v>
      </c>
      <c r="B96" s="10" t="s">
        <v>288</v>
      </c>
      <c r="C96" s="11" t="s">
        <v>289</v>
      </c>
      <c r="D96" s="11" t="s">
        <v>290</v>
      </c>
      <c r="E96" s="13">
        <v>30</v>
      </c>
      <c r="F96" s="13">
        <v>30</v>
      </c>
      <c r="G96" s="7">
        <f t="shared" si="1"/>
        <v>1</v>
      </c>
      <c r="H96" s="13">
        <v>110</v>
      </c>
      <c r="I96" s="13">
        <v>256</v>
      </c>
      <c r="J96" s="13">
        <v>366</v>
      </c>
      <c r="K96" s="13">
        <v>1.1725E-4</v>
      </c>
    </row>
    <row r="97" spans="1:11" ht="200" customHeight="1" x14ac:dyDescent="0.15">
      <c r="A97" s="9">
        <v>4046</v>
      </c>
      <c r="B97" s="10" t="s">
        <v>291</v>
      </c>
      <c r="C97" s="11" t="s">
        <v>292</v>
      </c>
      <c r="D97" s="11" t="s">
        <v>293</v>
      </c>
      <c r="E97" s="13">
        <v>55</v>
      </c>
      <c r="F97" s="13">
        <v>55</v>
      </c>
      <c r="G97" s="7">
        <f t="shared" si="1"/>
        <v>1</v>
      </c>
      <c r="H97" s="13">
        <v>73</v>
      </c>
      <c r="I97" s="13">
        <v>166</v>
      </c>
      <c r="J97" s="13">
        <v>239</v>
      </c>
      <c r="K97" s="13">
        <v>1.8225000000000001E-4</v>
      </c>
    </row>
    <row r="98" spans="1:11" ht="200" customHeight="1" x14ac:dyDescent="0.15">
      <c r="A98" s="9">
        <v>1002</v>
      </c>
      <c r="B98" s="10" t="s">
        <v>294</v>
      </c>
      <c r="C98" s="11" t="s">
        <v>295</v>
      </c>
      <c r="D98" s="11" t="s">
        <v>296</v>
      </c>
      <c r="E98" s="13">
        <v>113</v>
      </c>
      <c r="F98" s="13">
        <v>113</v>
      </c>
      <c r="G98" s="7">
        <f t="shared" si="1"/>
        <v>1</v>
      </c>
      <c r="H98" s="13">
        <v>74</v>
      </c>
      <c r="I98" s="13">
        <v>228</v>
      </c>
      <c r="J98" s="13">
        <v>302</v>
      </c>
      <c r="K98" s="13">
        <v>1.0119E-4</v>
      </c>
    </row>
    <row r="99" spans="1:11" ht="224" customHeight="1" x14ac:dyDescent="0.15">
      <c r="A99" s="9">
        <v>2432</v>
      </c>
      <c r="B99" s="10" t="s">
        <v>297</v>
      </c>
      <c r="C99" s="11" t="s">
        <v>298</v>
      </c>
      <c r="D99" s="11" t="s">
        <v>299</v>
      </c>
      <c r="E99" s="13">
        <v>3</v>
      </c>
      <c r="F99" s="13">
        <v>3</v>
      </c>
      <c r="G99" s="7">
        <f t="shared" si="1"/>
        <v>1</v>
      </c>
      <c r="H99" s="13">
        <v>89</v>
      </c>
      <c r="I99" s="13">
        <v>241</v>
      </c>
      <c r="J99" s="13">
        <v>330</v>
      </c>
      <c r="K99" s="13">
        <v>1.08415E-4</v>
      </c>
    </row>
    <row r="100" spans="1:11" ht="44" customHeight="1" x14ac:dyDescent="0.15">
      <c r="A100" s="9">
        <v>4180</v>
      </c>
      <c r="B100" s="10" t="s">
        <v>300</v>
      </c>
      <c r="C100" s="11" t="s">
        <v>301</v>
      </c>
      <c r="D100" s="11" t="s">
        <v>302</v>
      </c>
      <c r="E100" s="12"/>
      <c r="F100" s="13">
        <v>48</v>
      </c>
      <c r="G100" s="7">
        <f t="shared" si="1"/>
        <v>0</v>
      </c>
      <c r="H100" s="13">
        <v>74</v>
      </c>
      <c r="I100" s="13">
        <v>6</v>
      </c>
      <c r="J100" s="13">
        <v>80</v>
      </c>
      <c r="K100" s="14">
        <v>1.239E-5</v>
      </c>
    </row>
    <row r="101" spans="1:11" ht="200" customHeight="1" x14ac:dyDescent="0.15">
      <c r="A101" s="9">
        <v>1835</v>
      </c>
      <c r="B101" s="10" t="s">
        <v>303</v>
      </c>
      <c r="C101" s="11" t="s">
        <v>304</v>
      </c>
      <c r="D101" s="11" t="s">
        <v>305</v>
      </c>
      <c r="E101" s="13">
        <v>40</v>
      </c>
      <c r="F101" s="13">
        <v>40</v>
      </c>
      <c r="G101" s="7">
        <f t="shared" si="1"/>
        <v>1</v>
      </c>
      <c r="H101" s="13">
        <v>97</v>
      </c>
      <c r="I101" s="13">
        <v>189</v>
      </c>
      <c r="J101" s="13">
        <v>286</v>
      </c>
      <c r="K101" s="13">
        <v>1.1448E-4</v>
      </c>
    </row>
    <row r="102" spans="1:11" ht="272" customHeight="1" x14ac:dyDescent="0.15">
      <c r="A102" s="9">
        <v>3442</v>
      </c>
      <c r="B102" s="10" t="s">
        <v>306</v>
      </c>
      <c r="C102" s="11" t="s">
        <v>307</v>
      </c>
      <c r="D102" s="11" t="s">
        <v>308</v>
      </c>
      <c r="E102" s="13">
        <v>30</v>
      </c>
      <c r="F102" s="13">
        <v>30</v>
      </c>
      <c r="G102" s="7">
        <f t="shared" si="1"/>
        <v>1</v>
      </c>
      <c r="H102" s="13">
        <v>111</v>
      </c>
      <c r="I102" s="13">
        <v>318</v>
      </c>
      <c r="J102" s="13">
        <v>429</v>
      </c>
      <c r="K102" s="13">
        <v>1.1286E-4</v>
      </c>
    </row>
    <row r="103" spans="1:11" ht="164" customHeight="1" x14ac:dyDescent="0.15">
      <c r="A103" s="9">
        <v>6871</v>
      </c>
      <c r="B103" s="10" t="s">
        <v>309</v>
      </c>
      <c r="C103" s="11" t="s">
        <v>310</v>
      </c>
      <c r="D103" s="11" t="s">
        <v>311</v>
      </c>
      <c r="E103" s="13">
        <v>84</v>
      </c>
      <c r="F103" s="13">
        <v>84</v>
      </c>
      <c r="G103" s="7">
        <f t="shared" si="1"/>
        <v>1</v>
      </c>
      <c r="H103" s="13">
        <v>79</v>
      </c>
      <c r="I103" s="13">
        <v>162</v>
      </c>
      <c r="J103" s="13">
        <v>241</v>
      </c>
      <c r="K103" s="14">
        <v>5.9740000000000001E-5</v>
      </c>
    </row>
    <row r="104" spans="1:11" ht="140" customHeight="1" x14ac:dyDescent="0.15">
      <c r="A104" s="9">
        <v>544</v>
      </c>
      <c r="B104" s="10" t="s">
        <v>312</v>
      </c>
      <c r="C104" s="11" t="s">
        <v>313</v>
      </c>
      <c r="D104" s="11" t="s">
        <v>314</v>
      </c>
      <c r="E104" s="13">
        <v>15</v>
      </c>
      <c r="F104" s="13">
        <v>15</v>
      </c>
      <c r="G104" s="7">
        <f t="shared" si="1"/>
        <v>1</v>
      </c>
      <c r="H104" s="13">
        <v>90</v>
      </c>
      <c r="I104" s="13">
        <v>94</v>
      </c>
      <c r="J104" s="13">
        <v>184</v>
      </c>
      <c r="K104" s="14">
        <v>6.368E-5</v>
      </c>
    </row>
    <row r="105" spans="1:11" ht="200" customHeight="1" x14ac:dyDescent="0.15">
      <c r="A105" s="9">
        <v>7472</v>
      </c>
      <c r="B105" s="10" t="s">
        <v>315</v>
      </c>
      <c r="C105" s="11" t="s">
        <v>316</v>
      </c>
      <c r="D105" s="11" t="s">
        <v>317</v>
      </c>
      <c r="E105" s="12"/>
      <c r="F105" s="13">
        <v>50</v>
      </c>
      <c r="G105" s="7">
        <f t="shared" si="1"/>
        <v>0</v>
      </c>
      <c r="H105" s="13">
        <v>53</v>
      </c>
      <c r="I105" s="13">
        <v>235</v>
      </c>
      <c r="J105" s="13">
        <v>288</v>
      </c>
      <c r="K105" s="16">
        <v>8.0500000000000005E-5</v>
      </c>
    </row>
    <row r="106" spans="1:11" ht="152" customHeight="1" x14ac:dyDescent="0.15">
      <c r="A106" s="9">
        <v>3105</v>
      </c>
      <c r="B106" s="10" t="s">
        <v>318</v>
      </c>
      <c r="C106" s="11" t="s">
        <v>319</v>
      </c>
      <c r="D106" s="11" t="s">
        <v>320</v>
      </c>
      <c r="E106" s="13">
        <v>52</v>
      </c>
      <c r="F106" s="13">
        <v>52</v>
      </c>
      <c r="G106" s="7">
        <f t="shared" si="1"/>
        <v>1</v>
      </c>
      <c r="H106" s="13">
        <v>80</v>
      </c>
      <c r="I106" s="13">
        <v>134</v>
      </c>
      <c r="J106" s="13">
        <v>214</v>
      </c>
      <c r="K106" s="16">
        <v>6.4399999999999993E-5</v>
      </c>
    </row>
    <row r="107" spans="1:11" ht="272" customHeight="1" x14ac:dyDescent="0.15">
      <c r="A107" s="9">
        <v>7182</v>
      </c>
      <c r="B107" s="10" t="s">
        <v>321</v>
      </c>
      <c r="C107" s="11" t="s">
        <v>322</v>
      </c>
      <c r="D107" s="11" t="s">
        <v>323</v>
      </c>
      <c r="E107" s="13">
        <v>10</v>
      </c>
      <c r="F107" s="13">
        <v>4</v>
      </c>
      <c r="G107" s="7">
        <f t="shared" si="1"/>
        <v>0</v>
      </c>
      <c r="H107" s="13">
        <v>58</v>
      </c>
      <c r="I107" s="13">
        <v>281</v>
      </c>
      <c r="J107" s="13">
        <v>339</v>
      </c>
      <c r="K107" s="13">
        <v>2.2525E-4</v>
      </c>
    </row>
    <row r="108" spans="1:11" ht="296" customHeight="1" x14ac:dyDescent="0.15">
      <c r="A108" s="9">
        <v>6167</v>
      </c>
      <c r="B108" s="10" t="s">
        <v>324</v>
      </c>
      <c r="C108" s="11" t="s">
        <v>325</v>
      </c>
      <c r="D108" s="11" t="s">
        <v>326</v>
      </c>
      <c r="E108" s="13">
        <v>436</v>
      </c>
      <c r="F108" s="13">
        <v>436</v>
      </c>
      <c r="G108" s="7">
        <f t="shared" si="1"/>
        <v>1</v>
      </c>
      <c r="H108" s="13">
        <v>122</v>
      </c>
      <c r="I108" s="13">
        <v>260</v>
      </c>
      <c r="J108" s="13">
        <v>382</v>
      </c>
      <c r="K108" s="13">
        <v>2.7504E-4</v>
      </c>
    </row>
    <row r="109" spans="1:11" ht="296" customHeight="1" x14ac:dyDescent="0.15">
      <c r="A109" s="9">
        <v>1758</v>
      </c>
      <c r="B109" s="10" t="s">
        <v>327</v>
      </c>
      <c r="C109" s="11" t="s">
        <v>328</v>
      </c>
      <c r="D109" s="11" t="s">
        <v>329</v>
      </c>
      <c r="E109" s="13">
        <v>17</v>
      </c>
      <c r="F109" s="13">
        <v>17</v>
      </c>
      <c r="G109" s="7">
        <f t="shared" si="1"/>
        <v>1</v>
      </c>
      <c r="H109" s="13">
        <v>104</v>
      </c>
      <c r="I109" s="13">
        <v>304</v>
      </c>
      <c r="J109" s="13">
        <v>408</v>
      </c>
      <c r="K109" s="13">
        <v>1.3564E-4</v>
      </c>
    </row>
    <row r="110" spans="1:11" ht="44" customHeight="1" x14ac:dyDescent="0.15">
      <c r="A110" s="9">
        <v>1632</v>
      </c>
      <c r="B110" s="10" t="s">
        <v>330</v>
      </c>
      <c r="C110" s="11" t="s">
        <v>331</v>
      </c>
      <c r="D110" s="11" t="s">
        <v>332</v>
      </c>
      <c r="E110" s="12"/>
      <c r="F110" s="13">
        <v>196</v>
      </c>
      <c r="G110" s="7">
        <f t="shared" si="1"/>
        <v>0</v>
      </c>
      <c r="H110" s="13">
        <v>56</v>
      </c>
      <c r="I110" s="13">
        <v>4</v>
      </c>
      <c r="J110" s="13">
        <v>60</v>
      </c>
      <c r="K110" s="16">
        <v>6.8800000000000002E-6</v>
      </c>
    </row>
    <row r="111" spans="1:11" ht="200" customHeight="1" x14ac:dyDescent="0.15">
      <c r="A111" s="9">
        <v>5283</v>
      </c>
      <c r="B111" s="10" t="s">
        <v>333</v>
      </c>
      <c r="C111" s="11" t="s">
        <v>334</v>
      </c>
      <c r="D111" s="11" t="s">
        <v>335</v>
      </c>
      <c r="E111" s="12"/>
      <c r="F111" s="13">
        <v>17</v>
      </c>
      <c r="G111" s="7">
        <f t="shared" si="1"/>
        <v>0</v>
      </c>
      <c r="H111" s="13">
        <v>74</v>
      </c>
      <c r="I111" s="13">
        <v>153</v>
      </c>
      <c r="J111" s="13">
        <v>227</v>
      </c>
      <c r="K111" s="14">
        <v>5.6360000000000002E-5</v>
      </c>
    </row>
    <row r="112" spans="1:11" ht="128" customHeight="1" x14ac:dyDescent="0.15">
      <c r="A112" s="9">
        <v>737</v>
      </c>
      <c r="B112" s="10" t="s">
        <v>336</v>
      </c>
      <c r="C112" s="11" t="s">
        <v>337</v>
      </c>
      <c r="D112" s="11" t="s">
        <v>338</v>
      </c>
      <c r="E112" s="13">
        <v>15</v>
      </c>
      <c r="F112" s="13">
        <v>15</v>
      </c>
      <c r="G112" s="7">
        <f t="shared" si="1"/>
        <v>1</v>
      </c>
      <c r="H112" s="13">
        <v>70</v>
      </c>
      <c r="I112" s="13">
        <v>129</v>
      </c>
      <c r="J112" s="13">
        <v>199</v>
      </c>
      <c r="K112" s="13">
        <v>1.1425E-4</v>
      </c>
    </row>
    <row r="113" spans="1:11" ht="248" customHeight="1" x14ac:dyDescent="0.15">
      <c r="A113" s="9">
        <v>37</v>
      </c>
      <c r="B113" s="10" t="s">
        <v>339</v>
      </c>
      <c r="C113" s="11" t="s">
        <v>340</v>
      </c>
      <c r="D113" s="11" t="s">
        <v>341</v>
      </c>
      <c r="E113" s="13">
        <v>5</v>
      </c>
      <c r="F113" s="13">
        <v>5</v>
      </c>
      <c r="G113" s="7">
        <f t="shared" si="1"/>
        <v>1</v>
      </c>
      <c r="H113" s="13">
        <v>105</v>
      </c>
      <c r="I113" s="13">
        <v>224</v>
      </c>
      <c r="J113" s="13">
        <v>329</v>
      </c>
      <c r="K113" s="13">
        <v>1.03775E-4</v>
      </c>
    </row>
    <row r="114" spans="1:11" ht="296" customHeight="1" x14ac:dyDescent="0.15">
      <c r="A114" s="9">
        <v>61</v>
      </c>
      <c r="B114" s="10" t="s">
        <v>342</v>
      </c>
      <c r="C114" s="11" t="s">
        <v>343</v>
      </c>
      <c r="D114" s="11" t="s">
        <v>344</v>
      </c>
      <c r="E114" s="13">
        <v>200</v>
      </c>
      <c r="F114" s="13">
        <v>200</v>
      </c>
      <c r="G114" s="7">
        <f t="shared" si="1"/>
        <v>1</v>
      </c>
      <c r="H114" s="13">
        <v>123</v>
      </c>
      <c r="I114" s="13">
        <v>284</v>
      </c>
      <c r="J114" s="13">
        <v>407</v>
      </c>
      <c r="K114" s="13">
        <v>1.0318E-4</v>
      </c>
    </row>
    <row r="115" spans="1:11" ht="68" customHeight="1" x14ac:dyDescent="0.15">
      <c r="A115" s="9">
        <v>1438</v>
      </c>
      <c r="B115" s="10" t="s">
        <v>345</v>
      </c>
      <c r="C115" s="11" t="s">
        <v>346</v>
      </c>
      <c r="D115" s="11" t="s">
        <v>347</v>
      </c>
      <c r="E115" s="12"/>
      <c r="F115" s="13">
        <v>5</v>
      </c>
      <c r="G115" s="7">
        <f t="shared" si="1"/>
        <v>0</v>
      </c>
      <c r="H115" s="13">
        <v>64</v>
      </c>
      <c r="I115" s="13">
        <v>4</v>
      </c>
      <c r="J115" s="13">
        <v>68</v>
      </c>
      <c r="K115" s="14">
        <v>1.024E-5</v>
      </c>
    </row>
    <row r="116" spans="1:11" ht="56" customHeight="1" x14ac:dyDescent="0.15">
      <c r="A116" s="9">
        <v>472</v>
      </c>
      <c r="B116" s="10" t="s">
        <v>348</v>
      </c>
      <c r="C116" s="11" t="s">
        <v>349</v>
      </c>
      <c r="D116" s="11" t="s">
        <v>350</v>
      </c>
      <c r="E116" s="12"/>
      <c r="F116" s="13">
        <v>11</v>
      </c>
      <c r="G116" s="7">
        <f t="shared" si="1"/>
        <v>0</v>
      </c>
      <c r="H116" s="13">
        <v>78</v>
      </c>
      <c r="I116" s="13">
        <v>4</v>
      </c>
      <c r="J116" s="13">
        <v>82</v>
      </c>
      <c r="K116" s="16">
        <v>9.0799999999999995E-6</v>
      </c>
    </row>
    <row r="117" spans="1:11" ht="164" customHeight="1" x14ac:dyDescent="0.15">
      <c r="A117" s="9">
        <v>7141</v>
      </c>
      <c r="B117" s="10" t="s">
        <v>351</v>
      </c>
      <c r="C117" s="11" t="s">
        <v>352</v>
      </c>
      <c r="D117" s="11" t="s">
        <v>353</v>
      </c>
      <c r="E117" s="13">
        <v>30</v>
      </c>
      <c r="F117" s="13">
        <v>30</v>
      </c>
      <c r="G117" s="7">
        <f t="shared" si="1"/>
        <v>1</v>
      </c>
      <c r="H117" s="13">
        <v>76</v>
      </c>
      <c r="I117" s="13">
        <v>170</v>
      </c>
      <c r="J117" s="13">
        <v>246</v>
      </c>
      <c r="K117" s="14">
        <v>7.8259999999999999E-5</v>
      </c>
    </row>
    <row r="118" spans="1:11" ht="200" customHeight="1" x14ac:dyDescent="0.15">
      <c r="A118" s="9">
        <v>5816</v>
      </c>
      <c r="B118" s="10" t="s">
        <v>354</v>
      </c>
      <c r="C118" s="11" t="s">
        <v>355</v>
      </c>
      <c r="D118" s="11" t="s">
        <v>356</v>
      </c>
      <c r="E118" s="13">
        <v>840</v>
      </c>
      <c r="F118" s="13">
        <v>840</v>
      </c>
      <c r="G118" s="7">
        <f t="shared" si="1"/>
        <v>1</v>
      </c>
      <c r="H118" s="13">
        <v>72</v>
      </c>
      <c r="I118" s="13">
        <v>191</v>
      </c>
      <c r="J118" s="13">
        <v>263</v>
      </c>
      <c r="K118" s="14">
        <v>6.8319999999999996E-5</v>
      </c>
    </row>
    <row r="119" spans="1:11" ht="224" customHeight="1" x14ac:dyDescent="0.15">
      <c r="A119" s="9">
        <v>5591</v>
      </c>
      <c r="B119" s="10" t="s">
        <v>357</v>
      </c>
      <c r="C119" s="11" t="s">
        <v>358</v>
      </c>
      <c r="D119" s="11" t="s">
        <v>359</v>
      </c>
      <c r="E119" s="13">
        <v>9</v>
      </c>
      <c r="F119" s="13">
        <v>6</v>
      </c>
      <c r="G119" s="7">
        <f t="shared" si="1"/>
        <v>0</v>
      </c>
      <c r="H119" s="13">
        <v>136</v>
      </c>
      <c r="I119" s="13">
        <v>243</v>
      </c>
      <c r="J119" s="13">
        <v>379</v>
      </c>
      <c r="K119" s="13">
        <v>1.1556E-4</v>
      </c>
    </row>
    <row r="120" spans="1:11" ht="236" customHeight="1" x14ac:dyDescent="0.15">
      <c r="A120" s="9">
        <v>2182</v>
      </c>
      <c r="B120" s="10" t="s">
        <v>360</v>
      </c>
      <c r="C120" s="11" t="s">
        <v>361</v>
      </c>
      <c r="D120" s="11" t="s">
        <v>362</v>
      </c>
      <c r="E120" s="13">
        <v>80</v>
      </c>
      <c r="F120" s="13">
        <v>80</v>
      </c>
      <c r="G120" s="7">
        <f t="shared" si="1"/>
        <v>1</v>
      </c>
      <c r="H120" s="13">
        <v>93</v>
      </c>
      <c r="I120" s="13">
        <v>270</v>
      </c>
      <c r="J120" s="13">
        <v>363</v>
      </c>
      <c r="K120" s="13">
        <v>1.20555E-4</v>
      </c>
    </row>
    <row r="121" spans="1:11" ht="188" customHeight="1" x14ac:dyDescent="0.15">
      <c r="A121" s="9">
        <v>1783</v>
      </c>
      <c r="B121" s="10" t="s">
        <v>363</v>
      </c>
      <c r="C121" s="11" t="s">
        <v>364</v>
      </c>
      <c r="D121" s="11" t="s">
        <v>365</v>
      </c>
      <c r="E121" s="13">
        <v>195</v>
      </c>
      <c r="F121" s="13">
        <v>195</v>
      </c>
      <c r="G121" s="7">
        <f t="shared" si="1"/>
        <v>1</v>
      </c>
      <c r="H121" s="13">
        <v>95</v>
      </c>
      <c r="I121" s="13">
        <v>187</v>
      </c>
      <c r="J121" s="13">
        <v>282</v>
      </c>
      <c r="K121" s="13">
        <v>1.1464E-4</v>
      </c>
    </row>
    <row r="122" spans="1:11" ht="200" customHeight="1" x14ac:dyDescent="0.15">
      <c r="A122" s="9">
        <v>5942</v>
      </c>
      <c r="B122" s="10" t="s">
        <v>366</v>
      </c>
      <c r="C122" s="11" t="s">
        <v>367</v>
      </c>
      <c r="D122" s="11" t="s">
        <v>368</v>
      </c>
      <c r="E122" s="13">
        <v>16</v>
      </c>
      <c r="F122" s="13">
        <v>16</v>
      </c>
      <c r="G122" s="7">
        <f t="shared" si="1"/>
        <v>1</v>
      </c>
      <c r="H122" s="13">
        <v>61</v>
      </c>
      <c r="I122" s="13">
        <v>201</v>
      </c>
      <c r="J122" s="13">
        <v>262</v>
      </c>
      <c r="K122" s="14">
        <v>7.0419999999999993E-5</v>
      </c>
    </row>
    <row r="123" spans="1:11" ht="212" customHeight="1" x14ac:dyDescent="0.15">
      <c r="A123" s="9">
        <v>5579</v>
      </c>
      <c r="B123" s="10" t="s">
        <v>369</v>
      </c>
      <c r="C123" s="11" t="s">
        <v>370</v>
      </c>
      <c r="D123" s="11" t="s">
        <v>371</v>
      </c>
      <c r="E123" s="13">
        <v>296</v>
      </c>
      <c r="F123" s="13">
        <v>296</v>
      </c>
      <c r="G123" s="7">
        <f t="shared" si="1"/>
        <v>1</v>
      </c>
      <c r="H123" s="13">
        <v>88</v>
      </c>
      <c r="I123" s="13">
        <v>241</v>
      </c>
      <c r="J123" s="13">
        <v>329</v>
      </c>
      <c r="K123" s="13">
        <v>1.0828E-4</v>
      </c>
    </row>
    <row r="124" spans="1:11" ht="236" customHeight="1" x14ac:dyDescent="0.15">
      <c r="A124" s="9">
        <v>6106</v>
      </c>
      <c r="B124" s="10" t="s">
        <v>372</v>
      </c>
      <c r="C124" s="11" t="s">
        <v>373</v>
      </c>
      <c r="D124" s="11" t="s">
        <v>374</v>
      </c>
      <c r="E124" s="13">
        <v>160</v>
      </c>
      <c r="F124" s="13">
        <v>160</v>
      </c>
      <c r="G124" s="7">
        <f t="shared" si="1"/>
        <v>1</v>
      </c>
      <c r="H124" s="13">
        <v>69</v>
      </c>
      <c r="I124" s="13">
        <v>244</v>
      </c>
      <c r="J124" s="13">
        <v>313</v>
      </c>
      <c r="K124" s="13">
        <v>1.3718000000000001E-4</v>
      </c>
    </row>
    <row r="125" spans="1:11" ht="80" customHeight="1" x14ac:dyDescent="0.15">
      <c r="A125" s="9">
        <v>786</v>
      </c>
      <c r="B125" s="10" t="s">
        <v>375</v>
      </c>
      <c r="C125" s="11" t="s">
        <v>376</v>
      </c>
      <c r="D125" s="11" t="s">
        <v>377</v>
      </c>
      <c r="E125" s="13">
        <v>9</v>
      </c>
      <c r="F125" s="13">
        <v>3</v>
      </c>
      <c r="G125" s="7">
        <f t="shared" si="1"/>
        <v>0</v>
      </c>
      <c r="H125" s="13">
        <v>94</v>
      </c>
      <c r="I125" s="13">
        <v>4</v>
      </c>
      <c r="J125" s="13">
        <v>98</v>
      </c>
      <c r="K125" s="14">
        <v>1.0679999999999999E-5</v>
      </c>
    </row>
    <row r="126" spans="1:11" ht="296" customHeight="1" x14ac:dyDescent="0.15">
      <c r="A126" s="9">
        <v>95</v>
      </c>
      <c r="B126" s="10" t="s">
        <v>378</v>
      </c>
      <c r="C126" s="11" t="s">
        <v>379</v>
      </c>
      <c r="D126" s="11" t="s">
        <v>380</v>
      </c>
      <c r="E126" s="12"/>
      <c r="F126" s="13">
        <v>64</v>
      </c>
      <c r="G126" s="7">
        <f t="shared" si="1"/>
        <v>0</v>
      </c>
      <c r="H126" s="13">
        <v>83</v>
      </c>
      <c r="I126" s="13">
        <v>372</v>
      </c>
      <c r="J126" s="13">
        <v>455</v>
      </c>
      <c r="K126" s="13">
        <v>1.2734000000000001E-4</v>
      </c>
    </row>
    <row r="127" spans="1:11" ht="212" customHeight="1" x14ac:dyDescent="0.15">
      <c r="A127" s="9">
        <v>7258</v>
      </c>
      <c r="B127" s="10" t="s">
        <v>381</v>
      </c>
      <c r="C127" s="11" t="s">
        <v>382</v>
      </c>
      <c r="D127" s="11" t="s">
        <v>383</v>
      </c>
      <c r="E127" s="13">
        <v>38000</v>
      </c>
      <c r="F127" s="13">
        <v>38000</v>
      </c>
      <c r="G127" s="7">
        <f t="shared" si="1"/>
        <v>1</v>
      </c>
      <c r="H127" s="13">
        <v>69</v>
      </c>
      <c r="I127" s="13">
        <v>201</v>
      </c>
      <c r="J127" s="13">
        <v>270</v>
      </c>
      <c r="K127" s="13">
        <v>1.1568E-4</v>
      </c>
    </row>
    <row r="128" spans="1:11" ht="176" customHeight="1" x14ac:dyDescent="0.15">
      <c r="A128" s="9">
        <v>2542</v>
      </c>
      <c r="B128" s="10" t="s">
        <v>384</v>
      </c>
      <c r="C128" s="11" t="s">
        <v>385</v>
      </c>
      <c r="D128" s="11" t="s">
        <v>386</v>
      </c>
      <c r="E128" s="13">
        <v>2</v>
      </c>
      <c r="F128" s="13">
        <v>2</v>
      </c>
      <c r="G128" s="7">
        <f t="shared" si="1"/>
        <v>1</v>
      </c>
      <c r="H128" s="13">
        <v>111</v>
      </c>
      <c r="I128" s="13">
        <v>209</v>
      </c>
      <c r="J128" s="13">
        <v>320</v>
      </c>
      <c r="K128" s="13">
        <v>5.0339999999999998E-4</v>
      </c>
    </row>
    <row r="129" spans="1:11" ht="248" customHeight="1" x14ac:dyDescent="0.15">
      <c r="A129" s="9">
        <v>3803</v>
      </c>
      <c r="B129" s="10" t="s">
        <v>387</v>
      </c>
      <c r="C129" s="11" t="s">
        <v>388</v>
      </c>
      <c r="D129" s="11" t="s">
        <v>389</v>
      </c>
      <c r="E129" s="12"/>
      <c r="F129" s="13">
        <v>264</v>
      </c>
      <c r="G129" s="7">
        <f t="shared" si="1"/>
        <v>0</v>
      </c>
      <c r="H129" s="13">
        <v>107</v>
      </c>
      <c r="I129" s="13">
        <v>224</v>
      </c>
      <c r="J129" s="13">
        <v>331</v>
      </c>
      <c r="K129" s="13">
        <v>1.9474999999999999E-4</v>
      </c>
    </row>
    <row r="130" spans="1:11" ht="200" customHeight="1" x14ac:dyDescent="0.15">
      <c r="A130" s="9">
        <v>676</v>
      </c>
      <c r="B130" s="10" t="s">
        <v>390</v>
      </c>
      <c r="C130" s="11" t="s">
        <v>391</v>
      </c>
      <c r="D130" s="11" t="s">
        <v>392</v>
      </c>
      <c r="E130" s="13">
        <v>54</v>
      </c>
      <c r="F130" s="13">
        <v>54</v>
      </c>
      <c r="G130" s="7">
        <f t="shared" si="1"/>
        <v>1</v>
      </c>
      <c r="H130" s="13">
        <v>69</v>
      </c>
      <c r="I130" s="13">
        <v>215</v>
      </c>
      <c r="J130" s="13">
        <v>284</v>
      </c>
      <c r="K130" s="15">
        <v>9.5315000000000005E-5</v>
      </c>
    </row>
    <row r="131" spans="1:11" ht="236" customHeight="1" x14ac:dyDescent="0.15">
      <c r="A131" s="9">
        <v>1569</v>
      </c>
      <c r="B131" s="10" t="s">
        <v>393</v>
      </c>
      <c r="C131" s="11" t="s">
        <v>394</v>
      </c>
      <c r="D131" s="11" t="s">
        <v>395</v>
      </c>
      <c r="E131" s="13">
        <v>10</v>
      </c>
      <c r="F131" s="13">
        <v>10</v>
      </c>
      <c r="G131" s="7">
        <f t="shared" si="1"/>
        <v>1</v>
      </c>
      <c r="H131" s="13">
        <v>88</v>
      </c>
      <c r="I131" s="13">
        <v>272</v>
      </c>
      <c r="J131" s="13">
        <v>360</v>
      </c>
      <c r="K131" s="13">
        <v>1.2068E-4</v>
      </c>
    </row>
    <row r="132" spans="1:11" ht="188" customHeight="1" x14ac:dyDescent="0.15">
      <c r="A132" s="9">
        <v>3103</v>
      </c>
      <c r="B132" s="10" t="s">
        <v>396</v>
      </c>
      <c r="C132" s="11" t="s">
        <v>397</v>
      </c>
      <c r="D132" s="11" t="s">
        <v>398</v>
      </c>
      <c r="E132" s="13">
        <v>1</v>
      </c>
      <c r="F132" s="13">
        <v>1</v>
      </c>
      <c r="G132" s="7">
        <f t="shared" ref="G132:G195" si="2">IF(OR(ISBLANK(E132), ISBLANK(F132)), 0, IF(E132=F132, 1, 0))</f>
        <v>1</v>
      </c>
      <c r="H132" s="13">
        <v>99</v>
      </c>
      <c r="I132" s="13">
        <v>211</v>
      </c>
      <c r="J132" s="13">
        <v>310</v>
      </c>
      <c r="K132" s="14">
        <v>7.7420000000000001E-5</v>
      </c>
    </row>
    <row r="133" spans="1:11" ht="68" customHeight="1" x14ac:dyDescent="0.15">
      <c r="A133" s="9">
        <v>3381</v>
      </c>
      <c r="B133" s="10" t="s">
        <v>399</v>
      </c>
      <c r="C133" s="11" t="s">
        <v>400</v>
      </c>
      <c r="D133" s="11" t="s">
        <v>401</v>
      </c>
      <c r="E133" s="13">
        <v>95</v>
      </c>
      <c r="F133" s="13">
        <v>85</v>
      </c>
      <c r="G133" s="7">
        <f t="shared" si="2"/>
        <v>0</v>
      </c>
      <c r="H133" s="13">
        <v>70</v>
      </c>
      <c r="I133" s="13">
        <v>4</v>
      </c>
      <c r="J133" s="13">
        <v>74</v>
      </c>
      <c r="K133" s="16">
        <v>2.05E-5</v>
      </c>
    </row>
    <row r="134" spans="1:11" ht="260" customHeight="1" x14ac:dyDescent="0.15">
      <c r="A134" s="9">
        <v>3742</v>
      </c>
      <c r="B134" s="10" t="s">
        <v>402</v>
      </c>
      <c r="C134" s="11" t="s">
        <v>403</v>
      </c>
      <c r="D134" s="11" t="s">
        <v>404</v>
      </c>
      <c r="E134" s="13">
        <v>45</v>
      </c>
      <c r="F134" s="13">
        <v>45</v>
      </c>
      <c r="G134" s="7">
        <f t="shared" si="2"/>
        <v>1</v>
      </c>
      <c r="H134" s="13">
        <v>118</v>
      </c>
      <c r="I134" s="13">
        <v>270</v>
      </c>
      <c r="J134" s="13">
        <v>388</v>
      </c>
      <c r="K134" s="16">
        <v>9.8200000000000002E-5</v>
      </c>
    </row>
    <row r="135" spans="1:11" ht="308" customHeight="1" x14ac:dyDescent="0.15">
      <c r="A135" s="9">
        <v>4030</v>
      </c>
      <c r="B135" s="10" t="s">
        <v>405</v>
      </c>
      <c r="C135" s="11" t="s">
        <v>406</v>
      </c>
      <c r="D135" s="11" t="s">
        <v>407</v>
      </c>
      <c r="E135" s="13">
        <v>24</v>
      </c>
      <c r="F135" s="13">
        <v>24</v>
      </c>
      <c r="G135" s="7">
        <f t="shared" si="2"/>
        <v>1</v>
      </c>
      <c r="H135" s="13">
        <v>88</v>
      </c>
      <c r="I135" s="13">
        <v>266</v>
      </c>
      <c r="J135" s="13">
        <v>354</v>
      </c>
      <c r="K135" s="13">
        <v>2.7900000000000001E-4</v>
      </c>
    </row>
    <row r="136" spans="1:11" ht="164" customHeight="1" x14ac:dyDescent="0.15">
      <c r="A136" s="9">
        <v>5658</v>
      </c>
      <c r="B136" s="10" t="s">
        <v>408</v>
      </c>
      <c r="C136" s="11" t="s">
        <v>409</v>
      </c>
      <c r="D136" s="11" t="s">
        <v>410</v>
      </c>
      <c r="E136" s="13">
        <v>15</v>
      </c>
      <c r="F136" s="13">
        <v>15</v>
      </c>
      <c r="G136" s="7">
        <f t="shared" si="2"/>
        <v>1</v>
      </c>
      <c r="H136" s="13">
        <v>117</v>
      </c>
      <c r="I136" s="13">
        <v>196</v>
      </c>
      <c r="J136" s="13">
        <v>313</v>
      </c>
      <c r="K136" s="15">
        <v>9.4195000000000002E-5</v>
      </c>
    </row>
    <row r="137" spans="1:11" ht="176" customHeight="1" x14ac:dyDescent="0.15">
      <c r="A137" s="9">
        <v>3770</v>
      </c>
      <c r="B137" s="10" t="s">
        <v>411</v>
      </c>
      <c r="C137" s="11" t="s">
        <v>412</v>
      </c>
      <c r="D137" s="11" t="s">
        <v>413</v>
      </c>
      <c r="E137" s="12"/>
      <c r="F137" s="13">
        <v>18</v>
      </c>
      <c r="G137" s="7">
        <f t="shared" si="2"/>
        <v>0</v>
      </c>
      <c r="H137" s="13">
        <v>0</v>
      </c>
      <c r="I137" s="13">
        <v>1</v>
      </c>
      <c r="J137" s="13">
        <v>1</v>
      </c>
      <c r="K137" s="13">
        <v>0</v>
      </c>
    </row>
    <row r="138" spans="1:11" ht="152" customHeight="1" x14ac:dyDescent="0.15">
      <c r="A138" s="9">
        <v>2885</v>
      </c>
      <c r="B138" s="10" t="s">
        <v>414</v>
      </c>
      <c r="C138" s="11" t="s">
        <v>415</v>
      </c>
      <c r="D138" s="11" t="s">
        <v>416</v>
      </c>
      <c r="E138" s="12"/>
      <c r="F138" s="13">
        <v>40</v>
      </c>
      <c r="G138" s="7">
        <f t="shared" si="2"/>
        <v>0</v>
      </c>
      <c r="H138" s="13">
        <v>66</v>
      </c>
      <c r="I138" s="13">
        <v>153</v>
      </c>
      <c r="J138" s="13">
        <v>219</v>
      </c>
      <c r="K138" s="14">
        <v>5.5560000000000003E-5</v>
      </c>
    </row>
    <row r="139" spans="1:11" ht="272" customHeight="1" x14ac:dyDescent="0.15">
      <c r="A139" s="9">
        <v>2083</v>
      </c>
      <c r="B139" s="10" t="s">
        <v>417</v>
      </c>
      <c r="C139" s="11" t="s">
        <v>418</v>
      </c>
      <c r="D139" s="11" t="s">
        <v>419</v>
      </c>
      <c r="E139" s="13">
        <v>84</v>
      </c>
      <c r="F139" s="13">
        <v>84</v>
      </c>
      <c r="G139" s="7">
        <f t="shared" si="2"/>
        <v>1</v>
      </c>
      <c r="H139" s="13">
        <v>92</v>
      </c>
      <c r="I139" s="13">
        <v>288</v>
      </c>
      <c r="J139" s="13">
        <v>380</v>
      </c>
      <c r="K139" s="13">
        <v>2.8180000000000002E-4</v>
      </c>
    </row>
    <row r="140" spans="1:11" ht="152" customHeight="1" x14ac:dyDescent="0.15">
      <c r="A140" s="9">
        <v>6577</v>
      </c>
      <c r="B140" s="10" t="s">
        <v>420</v>
      </c>
      <c r="C140" s="11" t="s">
        <v>421</v>
      </c>
      <c r="D140" s="11" t="s">
        <v>422</v>
      </c>
      <c r="E140" s="12"/>
      <c r="F140" s="13">
        <v>5</v>
      </c>
      <c r="G140" s="7">
        <f t="shared" si="2"/>
        <v>0</v>
      </c>
      <c r="H140" s="13">
        <v>85</v>
      </c>
      <c r="I140" s="13">
        <v>156</v>
      </c>
      <c r="J140" s="13">
        <v>241</v>
      </c>
      <c r="K140" s="14">
        <v>5.842E-5</v>
      </c>
    </row>
    <row r="141" spans="1:11" ht="44" customHeight="1" x14ac:dyDescent="0.15">
      <c r="A141" s="9">
        <v>5168</v>
      </c>
      <c r="B141" s="10" t="s">
        <v>423</v>
      </c>
      <c r="C141" s="11" t="s">
        <v>424</v>
      </c>
      <c r="D141" s="11" t="s">
        <v>425</v>
      </c>
      <c r="E141" s="12"/>
      <c r="F141" s="13">
        <v>51</v>
      </c>
      <c r="G141" s="7">
        <f t="shared" si="2"/>
        <v>0</v>
      </c>
      <c r="H141" s="13">
        <v>0</v>
      </c>
      <c r="I141" s="13">
        <v>2</v>
      </c>
      <c r="J141" s="13">
        <v>2</v>
      </c>
      <c r="K141" s="13">
        <v>0</v>
      </c>
    </row>
    <row r="142" spans="1:11" ht="224" customHeight="1" x14ac:dyDescent="0.15">
      <c r="A142" s="9">
        <v>1718</v>
      </c>
      <c r="B142" s="10" t="s">
        <v>426</v>
      </c>
      <c r="C142" s="11" t="s">
        <v>427</v>
      </c>
      <c r="D142" s="11" t="s">
        <v>428</v>
      </c>
      <c r="E142" s="13">
        <v>86</v>
      </c>
      <c r="F142" s="13">
        <v>86</v>
      </c>
      <c r="G142" s="7">
        <f t="shared" si="2"/>
        <v>1</v>
      </c>
      <c r="H142" s="13">
        <v>84</v>
      </c>
      <c r="I142" s="13">
        <v>229</v>
      </c>
      <c r="J142" s="13">
        <v>313</v>
      </c>
      <c r="K142" s="13">
        <v>1.0294E-4</v>
      </c>
    </row>
    <row r="143" spans="1:11" ht="200" customHeight="1" x14ac:dyDescent="0.15">
      <c r="A143" s="9">
        <v>3612</v>
      </c>
      <c r="B143" s="10" t="s">
        <v>429</v>
      </c>
      <c r="C143" s="11" t="s">
        <v>430</v>
      </c>
      <c r="D143" s="11" t="s">
        <v>431</v>
      </c>
      <c r="E143" s="13">
        <v>108</v>
      </c>
      <c r="F143" s="13">
        <v>108</v>
      </c>
      <c r="G143" s="7">
        <f t="shared" si="2"/>
        <v>1</v>
      </c>
      <c r="H143" s="13">
        <v>81</v>
      </c>
      <c r="I143" s="13">
        <v>178</v>
      </c>
      <c r="J143" s="13">
        <v>259</v>
      </c>
      <c r="K143" s="13">
        <v>1.0682E-4</v>
      </c>
    </row>
    <row r="144" spans="1:11" ht="296" customHeight="1" x14ac:dyDescent="0.15">
      <c r="A144" s="9">
        <v>1902</v>
      </c>
      <c r="B144" s="10" t="s">
        <v>432</v>
      </c>
      <c r="C144" s="11" t="s">
        <v>433</v>
      </c>
      <c r="D144" s="11" t="s">
        <v>434</v>
      </c>
      <c r="E144" s="13">
        <v>605</v>
      </c>
      <c r="F144" s="13">
        <v>605</v>
      </c>
      <c r="G144" s="7">
        <f t="shared" si="2"/>
        <v>1</v>
      </c>
      <c r="H144" s="13">
        <v>130</v>
      </c>
      <c r="I144" s="13">
        <v>307</v>
      </c>
      <c r="J144" s="13">
        <v>437</v>
      </c>
      <c r="K144" s="13">
        <v>1.4035E-4</v>
      </c>
    </row>
    <row r="145" spans="1:11" ht="164" customHeight="1" x14ac:dyDescent="0.15">
      <c r="A145" s="9">
        <v>1128</v>
      </c>
      <c r="B145" s="10" t="s">
        <v>435</v>
      </c>
      <c r="C145" s="11" t="s">
        <v>436</v>
      </c>
      <c r="D145" s="11" t="s">
        <v>437</v>
      </c>
      <c r="E145" s="12"/>
      <c r="F145" s="13">
        <v>3</v>
      </c>
      <c r="G145" s="7">
        <f t="shared" si="2"/>
        <v>0</v>
      </c>
      <c r="H145" s="13">
        <v>86</v>
      </c>
      <c r="I145" s="13">
        <v>139</v>
      </c>
      <c r="J145" s="13">
        <v>225</v>
      </c>
      <c r="K145" s="14">
        <v>6.7210000000000002E-5</v>
      </c>
    </row>
    <row r="146" spans="1:11" ht="44" customHeight="1" x14ac:dyDescent="0.15">
      <c r="A146" s="9">
        <v>1168</v>
      </c>
      <c r="B146" s="10" t="s">
        <v>438</v>
      </c>
      <c r="C146" s="11" t="s">
        <v>439</v>
      </c>
      <c r="D146" s="11" t="s">
        <v>440</v>
      </c>
      <c r="E146" s="12"/>
      <c r="F146" s="13">
        <v>60</v>
      </c>
      <c r="G146" s="7">
        <f t="shared" si="2"/>
        <v>0</v>
      </c>
      <c r="H146" s="13">
        <v>75</v>
      </c>
      <c r="I146" s="13">
        <v>4</v>
      </c>
      <c r="J146" s="13">
        <v>79</v>
      </c>
      <c r="K146" s="16">
        <v>8.7800000000000006E-6</v>
      </c>
    </row>
    <row r="147" spans="1:11" ht="188" customHeight="1" x14ac:dyDescent="0.15">
      <c r="A147" s="9">
        <v>4582</v>
      </c>
      <c r="B147" s="10" t="s">
        <v>441</v>
      </c>
      <c r="C147" s="11" t="s">
        <v>442</v>
      </c>
      <c r="D147" s="11" t="s">
        <v>443</v>
      </c>
      <c r="E147" s="13">
        <v>75</v>
      </c>
      <c r="F147" s="13">
        <v>75</v>
      </c>
      <c r="G147" s="7">
        <f t="shared" si="2"/>
        <v>1</v>
      </c>
      <c r="H147" s="13">
        <v>84</v>
      </c>
      <c r="I147" s="13">
        <v>201</v>
      </c>
      <c r="J147" s="13">
        <v>285</v>
      </c>
      <c r="K147" s="14">
        <v>9.1739999999999999E-5</v>
      </c>
    </row>
    <row r="148" spans="1:11" ht="152" customHeight="1" x14ac:dyDescent="0.15">
      <c r="A148" s="9">
        <v>4687</v>
      </c>
      <c r="B148" s="10" t="s">
        <v>444</v>
      </c>
      <c r="C148" s="11" t="s">
        <v>445</v>
      </c>
      <c r="D148" s="11" t="s">
        <v>446</v>
      </c>
      <c r="E148" s="13">
        <v>20</v>
      </c>
      <c r="F148" s="13">
        <v>20</v>
      </c>
      <c r="G148" s="7">
        <f t="shared" si="2"/>
        <v>1</v>
      </c>
      <c r="H148" s="13">
        <v>96</v>
      </c>
      <c r="I148" s="13">
        <v>118</v>
      </c>
      <c r="J148" s="13">
        <v>214</v>
      </c>
      <c r="K148" s="14">
        <v>4.7360000000000001E-5</v>
      </c>
    </row>
    <row r="149" spans="1:11" ht="236" customHeight="1" x14ac:dyDescent="0.15">
      <c r="A149" s="9">
        <v>5815</v>
      </c>
      <c r="B149" s="10" t="s">
        <v>447</v>
      </c>
      <c r="C149" s="11" t="s">
        <v>448</v>
      </c>
      <c r="D149" s="11" t="s">
        <v>449</v>
      </c>
      <c r="E149" s="13">
        <v>10000</v>
      </c>
      <c r="F149" s="13">
        <v>10000</v>
      </c>
      <c r="G149" s="7">
        <f t="shared" si="2"/>
        <v>1</v>
      </c>
      <c r="H149" s="13">
        <v>57</v>
      </c>
      <c r="I149" s="13">
        <v>208</v>
      </c>
      <c r="J149" s="13">
        <v>265</v>
      </c>
      <c r="K149" s="14">
        <v>7.2260000000000003E-5</v>
      </c>
    </row>
    <row r="150" spans="1:11" ht="260" customHeight="1" x14ac:dyDescent="0.15">
      <c r="A150" s="9">
        <v>4347</v>
      </c>
      <c r="B150" s="10" t="s">
        <v>450</v>
      </c>
      <c r="C150" s="11" t="s">
        <v>451</v>
      </c>
      <c r="D150" s="11" t="s">
        <v>452</v>
      </c>
      <c r="E150" s="13">
        <v>112</v>
      </c>
      <c r="F150" s="13">
        <v>112</v>
      </c>
      <c r="G150" s="7">
        <f t="shared" si="2"/>
        <v>1</v>
      </c>
      <c r="H150" s="13">
        <v>82</v>
      </c>
      <c r="I150" s="13">
        <v>266</v>
      </c>
      <c r="J150" s="13">
        <v>348</v>
      </c>
      <c r="K150" s="14">
        <v>9.3319999999999994E-5</v>
      </c>
    </row>
    <row r="151" spans="1:11" ht="44" customHeight="1" x14ac:dyDescent="0.15">
      <c r="A151" s="9">
        <v>4690</v>
      </c>
      <c r="B151" s="10" t="s">
        <v>453</v>
      </c>
      <c r="C151" s="11" t="s">
        <v>454</v>
      </c>
      <c r="D151" s="11" t="s">
        <v>80</v>
      </c>
      <c r="E151" s="12"/>
      <c r="F151" s="13">
        <v>3</v>
      </c>
      <c r="G151" s="7">
        <f t="shared" si="2"/>
        <v>0</v>
      </c>
      <c r="H151" s="13">
        <v>76</v>
      </c>
      <c r="I151" s="13">
        <v>4</v>
      </c>
      <c r="J151" s="13">
        <v>80</v>
      </c>
      <c r="K151" s="16">
        <v>8.8799999999999997E-6</v>
      </c>
    </row>
    <row r="152" spans="1:11" ht="176" customHeight="1" x14ac:dyDescent="0.15">
      <c r="A152" s="9">
        <v>3910</v>
      </c>
      <c r="B152" s="10" t="s">
        <v>455</v>
      </c>
      <c r="C152" s="11" t="s">
        <v>456</v>
      </c>
      <c r="D152" s="11" t="s">
        <v>457</v>
      </c>
      <c r="E152" s="13">
        <v>66</v>
      </c>
      <c r="F152" s="13">
        <v>66</v>
      </c>
      <c r="G152" s="7">
        <f t="shared" si="2"/>
        <v>1</v>
      </c>
      <c r="H152" s="13">
        <v>59</v>
      </c>
      <c r="I152" s="13">
        <v>179</v>
      </c>
      <c r="J152" s="13">
        <v>238</v>
      </c>
      <c r="K152" s="13">
        <v>1.0247999999999999E-4</v>
      </c>
    </row>
    <row r="153" spans="1:11" ht="200" customHeight="1" x14ac:dyDescent="0.15">
      <c r="A153" s="9">
        <v>3649</v>
      </c>
      <c r="B153" s="10" t="s">
        <v>458</v>
      </c>
      <c r="C153" s="11" t="s">
        <v>459</v>
      </c>
      <c r="D153" s="11" t="s">
        <v>460</v>
      </c>
      <c r="E153" s="13">
        <v>1158</v>
      </c>
      <c r="F153" s="13">
        <v>1158</v>
      </c>
      <c r="G153" s="7">
        <f t="shared" si="2"/>
        <v>1</v>
      </c>
      <c r="H153" s="13">
        <v>104</v>
      </c>
      <c r="I153" s="13">
        <v>240</v>
      </c>
      <c r="J153" s="13">
        <v>344</v>
      </c>
      <c r="K153" s="13">
        <v>1.44E-4</v>
      </c>
    </row>
    <row r="154" spans="1:11" ht="44" customHeight="1" x14ac:dyDescent="0.15">
      <c r="A154" s="9">
        <v>5204</v>
      </c>
      <c r="B154" s="10" t="s">
        <v>461</v>
      </c>
      <c r="C154" s="11" t="s">
        <v>462</v>
      </c>
      <c r="D154" s="11" t="s">
        <v>463</v>
      </c>
      <c r="E154" s="12"/>
      <c r="F154" s="13">
        <v>5</v>
      </c>
      <c r="G154" s="7">
        <f t="shared" si="2"/>
        <v>0</v>
      </c>
      <c r="H154" s="13">
        <v>102</v>
      </c>
      <c r="I154" s="13">
        <v>6</v>
      </c>
      <c r="J154" s="13">
        <v>108</v>
      </c>
      <c r="K154" s="14">
        <v>2.192E-5</v>
      </c>
    </row>
    <row r="155" spans="1:11" ht="44" customHeight="1" x14ac:dyDescent="0.15">
      <c r="A155" s="9">
        <v>748</v>
      </c>
      <c r="B155" s="10" t="s">
        <v>464</v>
      </c>
      <c r="C155" s="11" t="s">
        <v>465</v>
      </c>
      <c r="D155" s="11" t="s">
        <v>466</v>
      </c>
      <c r="E155" s="12"/>
      <c r="F155" s="13">
        <v>9</v>
      </c>
      <c r="G155" s="7">
        <f t="shared" si="2"/>
        <v>0</v>
      </c>
      <c r="H155" s="13">
        <v>66</v>
      </c>
      <c r="I155" s="13">
        <v>4</v>
      </c>
      <c r="J155" s="13">
        <v>70</v>
      </c>
      <c r="K155" s="14">
        <v>1.0509999999999999E-5</v>
      </c>
    </row>
    <row r="156" spans="1:11" ht="176" customHeight="1" x14ac:dyDescent="0.15">
      <c r="A156" s="9">
        <v>3918</v>
      </c>
      <c r="B156" s="10" t="s">
        <v>467</v>
      </c>
      <c r="C156" s="11" t="s">
        <v>468</v>
      </c>
      <c r="D156" s="11" t="s">
        <v>469</v>
      </c>
      <c r="E156" s="13">
        <v>166</v>
      </c>
      <c r="F156" s="13">
        <v>166</v>
      </c>
      <c r="G156" s="7">
        <f t="shared" si="2"/>
        <v>1</v>
      </c>
      <c r="H156" s="13">
        <v>117</v>
      </c>
      <c r="I156" s="13">
        <v>192</v>
      </c>
      <c r="J156" s="13">
        <v>309</v>
      </c>
      <c r="K156" s="14">
        <v>7.3139999999999994E-5</v>
      </c>
    </row>
    <row r="157" spans="1:11" ht="152" customHeight="1" x14ac:dyDescent="0.15">
      <c r="A157" s="9">
        <v>5755</v>
      </c>
      <c r="B157" s="10" t="s">
        <v>470</v>
      </c>
      <c r="C157" s="11" t="s">
        <v>471</v>
      </c>
      <c r="D157" s="11" t="s">
        <v>472</v>
      </c>
      <c r="E157" s="13">
        <v>35</v>
      </c>
      <c r="F157" s="13">
        <v>35</v>
      </c>
      <c r="G157" s="7">
        <f t="shared" si="2"/>
        <v>1</v>
      </c>
      <c r="H157" s="13">
        <v>53</v>
      </c>
      <c r="I157" s="13">
        <v>198</v>
      </c>
      <c r="J157" s="13">
        <v>251</v>
      </c>
      <c r="K157" s="14">
        <v>6.8659999999999997E-5</v>
      </c>
    </row>
    <row r="158" spans="1:11" ht="140" customHeight="1" x14ac:dyDescent="0.15">
      <c r="A158" s="9">
        <v>4622</v>
      </c>
      <c r="B158" s="10" t="s">
        <v>473</v>
      </c>
      <c r="C158" s="11" t="s">
        <v>474</v>
      </c>
      <c r="D158" s="11" t="s">
        <v>475</v>
      </c>
      <c r="E158" s="12"/>
      <c r="F158" s="13">
        <v>1</v>
      </c>
      <c r="G158" s="7">
        <f t="shared" si="2"/>
        <v>0</v>
      </c>
      <c r="H158" s="13">
        <v>72</v>
      </c>
      <c r="I158" s="13">
        <v>145</v>
      </c>
      <c r="J158" s="13">
        <v>217</v>
      </c>
      <c r="K158" s="16">
        <v>5.3600000000000002E-5</v>
      </c>
    </row>
    <row r="159" spans="1:11" ht="164" customHeight="1" x14ac:dyDescent="0.15">
      <c r="A159" s="9">
        <v>1880</v>
      </c>
      <c r="B159" s="10" t="s">
        <v>476</v>
      </c>
      <c r="C159" s="11" t="s">
        <v>477</v>
      </c>
      <c r="D159" s="11" t="s">
        <v>478</v>
      </c>
      <c r="E159" s="13">
        <v>6</v>
      </c>
      <c r="F159" s="13">
        <v>6</v>
      </c>
      <c r="G159" s="7">
        <f t="shared" si="2"/>
        <v>1</v>
      </c>
      <c r="H159" s="13">
        <v>112</v>
      </c>
      <c r="I159" s="13">
        <v>170</v>
      </c>
      <c r="J159" s="13">
        <v>282</v>
      </c>
      <c r="K159" s="13">
        <v>1.076E-4</v>
      </c>
    </row>
    <row r="160" spans="1:11" ht="128" customHeight="1" x14ac:dyDescent="0.15">
      <c r="A160" s="9">
        <v>1740</v>
      </c>
      <c r="B160" s="10" t="s">
        <v>479</v>
      </c>
      <c r="C160" s="11" t="s">
        <v>480</v>
      </c>
      <c r="D160" s="11" t="s">
        <v>481</v>
      </c>
      <c r="E160" s="13">
        <v>3450</v>
      </c>
      <c r="F160" s="13">
        <v>3450</v>
      </c>
      <c r="G160" s="7">
        <f t="shared" si="2"/>
        <v>1</v>
      </c>
      <c r="H160" s="13">
        <v>65</v>
      </c>
      <c r="I160" s="13">
        <v>115</v>
      </c>
      <c r="J160" s="13">
        <v>180</v>
      </c>
      <c r="K160" s="16">
        <v>7.1799999999999997E-5</v>
      </c>
    </row>
    <row r="161" spans="1:11" ht="188" customHeight="1" x14ac:dyDescent="0.15">
      <c r="A161" s="9">
        <v>1652</v>
      </c>
      <c r="B161" s="10" t="s">
        <v>482</v>
      </c>
      <c r="C161" s="11" t="s">
        <v>483</v>
      </c>
      <c r="D161" s="11" t="s">
        <v>484</v>
      </c>
      <c r="E161" s="12">
        <v>30</v>
      </c>
      <c r="F161" s="13">
        <v>30</v>
      </c>
      <c r="G161" s="7">
        <f t="shared" si="2"/>
        <v>1</v>
      </c>
      <c r="H161" s="13">
        <v>62</v>
      </c>
      <c r="I161" s="13">
        <v>170</v>
      </c>
      <c r="J161" s="13">
        <v>232</v>
      </c>
      <c r="K161" s="16">
        <v>6.0600000000000003E-5</v>
      </c>
    </row>
    <row r="162" spans="1:11" ht="236" customHeight="1" x14ac:dyDescent="0.15">
      <c r="A162" s="9">
        <v>1221</v>
      </c>
      <c r="B162" s="10" t="s">
        <v>485</v>
      </c>
      <c r="C162" s="11" t="s">
        <v>486</v>
      </c>
      <c r="D162" s="11" t="s">
        <v>487</v>
      </c>
      <c r="E162" s="13">
        <v>99</v>
      </c>
      <c r="F162" s="13">
        <v>99</v>
      </c>
      <c r="G162" s="7">
        <f t="shared" si="2"/>
        <v>1</v>
      </c>
      <c r="H162" s="13">
        <v>78</v>
      </c>
      <c r="I162" s="13">
        <v>205</v>
      </c>
      <c r="J162" s="13">
        <v>283</v>
      </c>
      <c r="K162" s="16">
        <v>7.3399999999999995E-5</v>
      </c>
    </row>
    <row r="163" spans="1:11" ht="236" customHeight="1" x14ac:dyDescent="0.15">
      <c r="A163" s="9">
        <v>6589</v>
      </c>
      <c r="B163" s="10" t="s">
        <v>488</v>
      </c>
      <c r="C163" s="11" t="s">
        <v>489</v>
      </c>
      <c r="D163" s="11" t="s">
        <v>490</v>
      </c>
      <c r="E163" s="13">
        <v>3</v>
      </c>
      <c r="F163" s="13">
        <v>3</v>
      </c>
      <c r="G163" s="7">
        <f t="shared" si="2"/>
        <v>1</v>
      </c>
      <c r="H163" s="13">
        <v>86</v>
      </c>
      <c r="I163" s="13">
        <v>259</v>
      </c>
      <c r="J163" s="13">
        <v>345</v>
      </c>
      <c r="K163" s="13">
        <v>1.1521E-4</v>
      </c>
    </row>
    <row r="164" spans="1:11" ht="176" customHeight="1" x14ac:dyDescent="0.15">
      <c r="A164" s="9">
        <v>319</v>
      </c>
      <c r="B164" s="10" t="s">
        <v>491</v>
      </c>
      <c r="C164" s="11" t="s">
        <v>492</v>
      </c>
      <c r="D164" s="11" t="s">
        <v>493</v>
      </c>
      <c r="E164" s="13">
        <v>18</v>
      </c>
      <c r="F164" s="13">
        <v>18</v>
      </c>
      <c r="G164" s="7">
        <f t="shared" si="2"/>
        <v>1</v>
      </c>
      <c r="H164" s="13">
        <v>75</v>
      </c>
      <c r="I164" s="13">
        <v>182</v>
      </c>
      <c r="J164" s="13">
        <v>257</v>
      </c>
      <c r="K164" s="14">
        <v>6.5740000000000004E-5</v>
      </c>
    </row>
    <row r="165" spans="1:11" ht="164" customHeight="1" x14ac:dyDescent="0.15">
      <c r="A165" s="9">
        <v>2157</v>
      </c>
      <c r="B165" s="10" t="s">
        <v>494</v>
      </c>
      <c r="C165" s="11" t="s">
        <v>495</v>
      </c>
      <c r="D165" s="11" t="s">
        <v>496</v>
      </c>
      <c r="E165" s="13">
        <v>12</v>
      </c>
      <c r="F165" s="13">
        <v>12</v>
      </c>
      <c r="G165" s="7">
        <f t="shared" si="2"/>
        <v>1</v>
      </c>
      <c r="H165" s="13">
        <v>69</v>
      </c>
      <c r="I165" s="13">
        <v>141</v>
      </c>
      <c r="J165" s="13">
        <v>210</v>
      </c>
      <c r="K165" s="14">
        <v>5.202E-5</v>
      </c>
    </row>
    <row r="166" spans="1:11" ht="152" customHeight="1" x14ac:dyDescent="0.15">
      <c r="A166" s="9">
        <v>1352</v>
      </c>
      <c r="B166" s="10" t="s">
        <v>497</v>
      </c>
      <c r="C166" s="11" t="s">
        <v>498</v>
      </c>
      <c r="D166" s="11" t="s">
        <v>499</v>
      </c>
      <c r="E166" s="13">
        <v>42000</v>
      </c>
      <c r="F166" s="13">
        <v>42000</v>
      </c>
      <c r="G166" s="7">
        <f t="shared" si="2"/>
        <v>1</v>
      </c>
      <c r="H166" s="13">
        <v>61</v>
      </c>
      <c r="I166" s="13">
        <v>159</v>
      </c>
      <c r="J166" s="13">
        <v>220</v>
      </c>
      <c r="K166" s="14">
        <v>5.698E-5</v>
      </c>
    </row>
    <row r="167" spans="1:11" ht="248" customHeight="1" x14ac:dyDescent="0.15">
      <c r="A167" s="9">
        <v>1811</v>
      </c>
      <c r="B167" s="10" t="s">
        <v>500</v>
      </c>
      <c r="C167" s="11" t="s">
        <v>501</v>
      </c>
      <c r="D167" s="11" t="s">
        <v>502</v>
      </c>
      <c r="E167" s="13">
        <v>20</v>
      </c>
      <c r="F167" s="13">
        <v>20</v>
      </c>
      <c r="G167" s="7">
        <f t="shared" si="2"/>
        <v>1</v>
      </c>
      <c r="H167" s="13">
        <v>122</v>
      </c>
      <c r="I167" s="13">
        <v>257</v>
      </c>
      <c r="J167" s="13">
        <v>379</v>
      </c>
      <c r="K167" s="14">
        <v>9.4439999999999997E-5</v>
      </c>
    </row>
    <row r="168" spans="1:11" ht="200" customHeight="1" x14ac:dyDescent="0.15">
      <c r="A168" s="9">
        <v>3473</v>
      </c>
      <c r="B168" s="10" t="s">
        <v>503</v>
      </c>
      <c r="C168" s="11" t="s">
        <v>504</v>
      </c>
      <c r="D168" s="11" t="s">
        <v>505</v>
      </c>
      <c r="E168" s="13">
        <v>9</v>
      </c>
      <c r="F168" s="13">
        <v>9</v>
      </c>
      <c r="G168" s="7">
        <f t="shared" si="2"/>
        <v>1</v>
      </c>
      <c r="H168" s="13">
        <v>92</v>
      </c>
      <c r="I168" s="13">
        <v>217</v>
      </c>
      <c r="J168" s="13">
        <v>309</v>
      </c>
      <c r="K168" s="13">
        <v>1.2964000000000001E-4</v>
      </c>
    </row>
    <row r="169" spans="1:11" ht="44" customHeight="1" x14ac:dyDescent="0.15">
      <c r="A169" s="9">
        <v>3813</v>
      </c>
      <c r="B169" s="10" t="s">
        <v>506</v>
      </c>
      <c r="C169" s="11" t="s">
        <v>507</v>
      </c>
      <c r="D169" s="11" t="s">
        <v>508</v>
      </c>
      <c r="E169" s="13">
        <v>6</v>
      </c>
      <c r="F169" s="13">
        <v>6</v>
      </c>
      <c r="G169" s="7">
        <f t="shared" si="2"/>
        <v>1</v>
      </c>
      <c r="H169" s="13">
        <v>72</v>
      </c>
      <c r="I169" s="13">
        <v>4</v>
      </c>
      <c r="J169" s="13">
        <v>76</v>
      </c>
      <c r="K169" s="16">
        <v>8.4800000000000001E-6</v>
      </c>
    </row>
    <row r="170" spans="1:11" ht="68" customHeight="1" x14ac:dyDescent="0.15">
      <c r="A170" s="9">
        <v>2906</v>
      </c>
      <c r="B170" s="10" t="s">
        <v>509</v>
      </c>
      <c r="C170" s="11" t="s">
        <v>510</v>
      </c>
      <c r="D170" s="11" t="s">
        <v>511</v>
      </c>
      <c r="E170" s="13">
        <v>90</v>
      </c>
      <c r="F170" s="13">
        <v>90</v>
      </c>
      <c r="G170" s="7">
        <f t="shared" si="2"/>
        <v>1</v>
      </c>
      <c r="H170" s="13">
        <v>55</v>
      </c>
      <c r="I170" s="13">
        <v>4</v>
      </c>
      <c r="J170" s="13">
        <v>59</v>
      </c>
      <c r="K170" s="16">
        <v>6.7800000000000003E-6</v>
      </c>
    </row>
    <row r="171" spans="1:11" ht="116" customHeight="1" x14ac:dyDescent="0.15">
      <c r="A171" s="9">
        <v>6551</v>
      </c>
      <c r="B171" s="10" t="s">
        <v>512</v>
      </c>
      <c r="C171" s="11" t="s">
        <v>513</v>
      </c>
      <c r="D171" s="11" t="s">
        <v>514</v>
      </c>
      <c r="E171" s="13">
        <v>10</v>
      </c>
      <c r="F171" s="13">
        <v>10</v>
      </c>
      <c r="G171" s="7">
        <f t="shared" si="2"/>
        <v>1</v>
      </c>
      <c r="H171" s="13">
        <v>73</v>
      </c>
      <c r="I171" s="13">
        <v>104</v>
      </c>
      <c r="J171" s="13">
        <v>177</v>
      </c>
      <c r="K171" s="15">
        <v>5.1455000000000001E-5</v>
      </c>
    </row>
    <row r="172" spans="1:11" ht="44" customHeight="1" x14ac:dyDescent="0.15">
      <c r="A172" s="9">
        <v>4522</v>
      </c>
      <c r="B172" s="10" t="s">
        <v>515</v>
      </c>
      <c r="C172" s="11" t="s">
        <v>516</v>
      </c>
      <c r="D172" s="19" t="s">
        <v>517</v>
      </c>
      <c r="E172" s="12">
        <v>72</v>
      </c>
      <c r="F172" s="13">
        <v>72</v>
      </c>
      <c r="G172" s="7">
        <f t="shared" si="2"/>
        <v>1</v>
      </c>
      <c r="H172" s="13">
        <v>91</v>
      </c>
      <c r="I172" s="13">
        <v>4</v>
      </c>
      <c r="J172" s="13">
        <v>95</v>
      </c>
      <c r="K172" s="15">
        <v>3.5675E-5</v>
      </c>
    </row>
    <row r="173" spans="1:11" ht="236" customHeight="1" x14ac:dyDescent="0.15">
      <c r="A173" s="9">
        <v>6958</v>
      </c>
      <c r="B173" s="10" t="s">
        <v>518</v>
      </c>
      <c r="C173" s="11" t="s">
        <v>519</v>
      </c>
      <c r="D173" s="11" t="s">
        <v>520</v>
      </c>
      <c r="E173" s="13">
        <v>26</v>
      </c>
      <c r="F173" s="13">
        <v>26</v>
      </c>
      <c r="G173" s="7">
        <f t="shared" si="2"/>
        <v>1</v>
      </c>
      <c r="H173" s="13">
        <v>65</v>
      </c>
      <c r="I173" s="13">
        <v>224</v>
      </c>
      <c r="J173" s="13">
        <v>289</v>
      </c>
      <c r="K173" s="13">
        <v>1.2630000000000001E-4</v>
      </c>
    </row>
    <row r="174" spans="1:11" ht="68" customHeight="1" x14ac:dyDescent="0.15">
      <c r="A174" s="9">
        <v>6679</v>
      </c>
      <c r="B174" s="10" t="s">
        <v>521</v>
      </c>
      <c r="C174" s="11" t="s">
        <v>522</v>
      </c>
      <c r="D174" s="11" t="s">
        <v>523</v>
      </c>
      <c r="E174" s="12">
        <v>15</v>
      </c>
      <c r="F174" s="13">
        <v>15</v>
      </c>
      <c r="G174" s="7">
        <f t="shared" si="2"/>
        <v>1</v>
      </c>
      <c r="H174" s="13">
        <v>76</v>
      </c>
      <c r="I174" s="13">
        <v>4</v>
      </c>
      <c r="J174" s="13">
        <v>80</v>
      </c>
      <c r="K174" s="16">
        <v>8.8799999999999997E-6</v>
      </c>
    </row>
    <row r="175" spans="1:11" ht="272" customHeight="1" x14ac:dyDescent="0.15">
      <c r="A175" s="9">
        <v>6220</v>
      </c>
      <c r="B175" s="10" t="s">
        <v>524</v>
      </c>
      <c r="C175" s="11" t="s">
        <v>525</v>
      </c>
      <c r="D175" s="11" t="s">
        <v>526</v>
      </c>
      <c r="E175" s="13">
        <v>32</v>
      </c>
      <c r="F175" s="13">
        <v>32</v>
      </c>
      <c r="G175" s="7">
        <f t="shared" si="2"/>
        <v>1</v>
      </c>
      <c r="H175" s="13">
        <v>74</v>
      </c>
      <c r="I175" s="13">
        <v>328</v>
      </c>
      <c r="J175" s="13">
        <v>402</v>
      </c>
      <c r="K175" s="13">
        <v>1.4118999999999999E-4</v>
      </c>
    </row>
    <row r="176" spans="1:11" ht="260" customHeight="1" x14ac:dyDescent="0.15">
      <c r="A176" s="9">
        <v>6511</v>
      </c>
      <c r="B176" s="10" t="s">
        <v>527</v>
      </c>
      <c r="C176" s="11" t="s">
        <v>528</v>
      </c>
      <c r="D176" s="11" t="s">
        <v>529</v>
      </c>
      <c r="E176" s="13">
        <v>164</v>
      </c>
      <c r="F176" s="13">
        <v>164</v>
      </c>
      <c r="G176" s="7">
        <f t="shared" si="2"/>
        <v>1</v>
      </c>
      <c r="H176" s="13">
        <v>122</v>
      </c>
      <c r="I176" s="13">
        <v>276</v>
      </c>
      <c r="J176" s="13">
        <v>398</v>
      </c>
      <c r="K176" s="13">
        <v>1.2687000000000001E-4</v>
      </c>
    </row>
    <row r="177" spans="1:11" ht="44" customHeight="1" x14ac:dyDescent="0.15">
      <c r="A177" s="9">
        <v>2149</v>
      </c>
      <c r="B177" s="10" t="s">
        <v>530</v>
      </c>
      <c r="C177" s="11" t="s">
        <v>531</v>
      </c>
      <c r="D177" s="11" t="s">
        <v>532</v>
      </c>
      <c r="E177" s="12">
        <v>4</v>
      </c>
      <c r="F177" s="13">
        <v>4</v>
      </c>
      <c r="G177" s="7">
        <f t="shared" si="2"/>
        <v>1</v>
      </c>
      <c r="H177" s="13">
        <v>57</v>
      </c>
      <c r="I177" s="13">
        <v>4</v>
      </c>
      <c r="J177" s="13">
        <v>61</v>
      </c>
      <c r="K177" s="14">
        <v>1.7249999999999999E-5</v>
      </c>
    </row>
    <row r="178" spans="1:11" ht="116" customHeight="1" x14ac:dyDescent="0.15">
      <c r="A178" s="9">
        <v>2781</v>
      </c>
      <c r="B178" s="10" t="s">
        <v>533</v>
      </c>
      <c r="C178" s="11" t="s">
        <v>534</v>
      </c>
      <c r="D178" s="11" t="s">
        <v>535</v>
      </c>
      <c r="E178" s="13">
        <v>36</v>
      </c>
      <c r="F178" s="13">
        <v>36</v>
      </c>
      <c r="G178" s="7">
        <f t="shared" si="2"/>
        <v>1</v>
      </c>
      <c r="H178" s="13">
        <v>82</v>
      </c>
      <c r="I178" s="13">
        <v>121</v>
      </c>
      <c r="J178" s="13">
        <v>203</v>
      </c>
      <c r="K178" s="14">
        <v>4.6919999999999998E-5</v>
      </c>
    </row>
    <row r="179" spans="1:11" ht="176" customHeight="1" x14ac:dyDescent="0.15">
      <c r="A179" s="9">
        <v>1407</v>
      </c>
      <c r="B179" s="10" t="s">
        <v>536</v>
      </c>
      <c r="C179" s="11" t="s">
        <v>537</v>
      </c>
      <c r="D179" s="11" t="s">
        <v>538</v>
      </c>
      <c r="E179" s="13">
        <v>55</v>
      </c>
      <c r="F179" s="13">
        <v>55</v>
      </c>
      <c r="G179" s="7">
        <f t="shared" si="2"/>
        <v>1</v>
      </c>
      <c r="H179" s="13">
        <v>65</v>
      </c>
      <c r="I179" s="13">
        <v>175</v>
      </c>
      <c r="J179" s="13">
        <v>240</v>
      </c>
      <c r="K179" s="15">
        <v>7.8775000000000004E-5</v>
      </c>
    </row>
    <row r="180" spans="1:11" ht="284" customHeight="1" x14ac:dyDescent="0.15">
      <c r="A180" s="9">
        <v>4563</v>
      </c>
      <c r="B180" s="10" t="s">
        <v>539</v>
      </c>
      <c r="C180" s="11" t="s">
        <v>540</v>
      </c>
      <c r="D180" s="11" t="s">
        <v>541</v>
      </c>
      <c r="E180" s="13">
        <v>3</v>
      </c>
      <c r="F180" s="13">
        <v>3</v>
      </c>
      <c r="G180" s="7">
        <f t="shared" si="2"/>
        <v>1</v>
      </c>
      <c r="H180" s="13">
        <v>78</v>
      </c>
      <c r="I180" s="13">
        <v>292</v>
      </c>
      <c r="J180" s="13">
        <v>370</v>
      </c>
      <c r="K180" s="13">
        <v>1.0124E-4</v>
      </c>
    </row>
    <row r="181" spans="1:11" ht="272" customHeight="1" x14ac:dyDescent="0.15">
      <c r="A181" s="9">
        <v>6219</v>
      </c>
      <c r="B181" s="10" t="s">
        <v>542</v>
      </c>
      <c r="C181" s="11" t="s">
        <v>543</v>
      </c>
      <c r="D181" s="11" t="s">
        <v>544</v>
      </c>
      <c r="E181" s="13">
        <v>60</v>
      </c>
      <c r="F181" s="13">
        <v>60</v>
      </c>
      <c r="G181" s="7">
        <f t="shared" si="2"/>
        <v>1</v>
      </c>
      <c r="H181" s="13">
        <v>143</v>
      </c>
      <c r="I181" s="13">
        <v>285</v>
      </c>
      <c r="J181" s="13">
        <v>428</v>
      </c>
      <c r="K181" s="13">
        <v>1.7359999999999999E-4</v>
      </c>
    </row>
    <row r="182" spans="1:11" ht="80" customHeight="1" x14ac:dyDescent="0.15">
      <c r="A182" s="9">
        <v>6429</v>
      </c>
      <c r="B182" s="10" t="s">
        <v>545</v>
      </c>
      <c r="C182" s="11" t="s">
        <v>546</v>
      </c>
      <c r="D182" s="11" t="s">
        <v>547</v>
      </c>
      <c r="E182" s="13">
        <v>86</v>
      </c>
      <c r="F182" s="13">
        <v>86</v>
      </c>
      <c r="G182" s="7">
        <f t="shared" si="2"/>
        <v>1</v>
      </c>
      <c r="H182" s="13">
        <v>97</v>
      </c>
      <c r="I182" s="13">
        <v>71</v>
      </c>
      <c r="J182" s="13">
        <v>168</v>
      </c>
      <c r="K182" s="14">
        <v>3.2419999999999998E-5</v>
      </c>
    </row>
    <row r="183" spans="1:11" ht="164" customHeight="1" x14ac:dyDescent="0.15">
      <c r="A183" s="9">
        <v>6354</v>
      </c>
      <c r="B183" s="10" t="s">
        <v>548</v>
      </c>
      <c r="C183" s="11" t="s">
        <v>549</v>
      </c>
      <c r="D183" s="11" t="s">
        <v>550</v>
      </c>
      <c r="E183" s="13">
        <v>21</v>
      </c>
      <c r="F183" s="13">
        <v>21</v>
      </c>
      <c r="G183" s="7">
        <f t="shared" si="2"/>
        <v>1</v>
      </c>
      <c r="H183" s="13">
        <v>59</v>
      </c>
      <c r="I183" s="13">
        <v>153</v>
      </c>
      <c r="J183" s="13">
        <v>212</v>
      </c>
      <c r="K183" s="14">
        <v>5.486E-5</v>
      </c>
    </row>
    <row r="184" spans="1:11" ht="56" customHeight="1" x14ac:dyDescent="0.15">
      <c r="A184" s="9">
        <v>828</v>
      </c>
      <c r="B184" s="10" t="s">
        <v>551</v>
      </c>
      <c r="C184" s="11" t="s">
        <v>552</v>
      </c>
      <c r="D184" s="11" t="s">
        <v>553</v>
      </c>
      <c r="E184" s="13">
        <v>32</v>
      </c>
      <c r="F184" s="13">
        <v>32</v>
      </c>
      <c r="G184" s="7">
        <f t="shared" si="2"/>
        <v>1</v>
      </c>
      <c r="H184" s="13">
        <v>64</v>
      </c>
      <c r="I184" s="13">
        <v>4</v>
      </c>
      <c r="J184" s="13">
        <v>68</v>
      </c>
      <c r="K184" s="16">
        <v>7.6799999999999993E-6</v>
      </c>
    </row>
    <row r="185" spans="1:11" ht="236" customHeight="1" x14ac:dyDescent="0.15">
      <c r="A185" s="9">
        <v>3279</v>
      </c>
      <c r="B185" s="10" t="s">
        <v>554</v>
      </c>
      <c r="C185" s="11" t="s">
        <v>555</v>
      </c>
      <c r="D185" s="11" t="s">
        <v>556</v>
      </c>
      <c r="E185" s="13">
        <v>160</v>
      </c>
      <c r="F185" s="13">
        <v>160</v>
      </c>
      <c r="G185" s="7">
        <f t="shared" si="2"/>
        <v>1</v>
      </c>
      <c r="H185" s="13">
        <v>55</v>
      </c>
      <c r="I185" s="13">
        <v>257</v>
      </c>
      <c r="J185" s="13">
        <v>312</v>
      </c>
      <c r="K185" s="14">
        <v>8.7739999999999997E-5</v>
      </c>
    </row>
    <row r="186" spans="1:11" ht="56" customHeight="1" x14ac:dyDescent="0.15">
      <c r="A186" s="9">
        <v>7019</v>
      </c>
      <c r="B186" s="10" t="s">
        <v>557</v>
      </c>
      <c r="C186" s="11" t="s">
        <v>558</v>
      </c>
      <c r="D186" s="11" t="s">
        <v>559</v>
      </c>
      <c r="E186" s="12">
        <v>25</v>
      </c>
      <c r="F186" s="13">
        <v>25</v>
      </c>
      <c r="G186" s="7">
        <f t="shared" si="2"/>
        <v>1</v>
      </c>
      <c r="H186" s="13">
        <v>81</v>
      </c>
      <c r="I186" s="13">
        <v>4</v>
      </c>
      <c r="J186" s="13">
        <v>85</v>
      </c>
      <c r="K186" s="14">
        <v>6.0350000000000003E-5</v>
      </c>
    </row>
    <row r="187" spans="1:11" ht="272" customHeight="1" x14ac:dyDescent="0.15">
      <c r="A187" s="9">
        <v>1410</v>
      </c>
      <c r="B187" s="10" t="s">
        <v>560</v>
      </c>
      <c r="C187" s="11" t="s">
        <v>561</v>
      </c>
      <c r="D187" s="11" t="s">
        <v>562</v>
      </c>
      <c r="E187" s="13">
        <v>30</v>
      </c>
      <c r="F187" s="13">
        <v>30</v>
      </c>
      <c r="G187" s="7">
        <f t="shared" si="2"/>
        <v>1</v>
      </c>
      <c r="H187" s="13">
        <v>64</v>
      </c>
      <c r="I187" s="13">
        <v>258</v>
      </c>
      <c r="J187" s="13">
        <v>322</v>
      </c>
      <c r="K187" s="14">
        <v>8.8960000000000002E-5</v>
      </c>
    </row>
    <row r="188" spans="1:11" ht="260" customHeight="1" x14ac:dyDescent="0.15">
      <c r="A188" s="9">
        <v>3260</v>
      </c>
      <c r="B188" s="10" t="s">
        <v>563</v>
      </c>
      <c r="C188" s="11" t="s">
        <v>564</v>
      </c>
      <c r="D188" s="11" t="s">
        <v>565</v>
      </c>
      <c r="E188" s="13">
        <v>338</v>
      </c>
      <c r="F188" s="13">
        <v>338</v>
      </c>
      <c r="G188" s="7">
        <f t="shared" si="2"/>
        <v>1</v>
      </c>
      <c r="H188" s="13">
        <v>90</v>
      </c>
      <c r="I188" s="13">
        <v>211</v>
      </c>
      <c r="J188" s="13">
        <v>301</v>
      </c>
      <c r="K188" s="13">
        <v>1.8075E-4</v>
      </c>
    </row>
    <row r="189" spans="1:11" ht="140" customHeight="1" x14ac:dyDescent="0.15">
      <c r="A189" s="9">
        <v>5495</v>
      </c>
      <c r="B189" s="10" t="s">
        <v>566</v>
      </c>
      <c r="C189" s="11" t="s">
        <v>567</v>
      </c>
      <c r="D189" s="11" t="s">
        <v>568</v>
      </c>
      <c r="E189" s="13">
        <v>14</v>
      </c>
      <c r="F189" s="13">
        <v>14</v>
      </c>
      <c r="G189" s="7">
        <f t="shared" si="2"/>
        <v>1</v>
      </c>
      <c r="H189" s="13">
        <v>106</v>
      </c>
      <c r="I189" s="13">
        <v>147</v>
      </c>
      <c r="J189" s="13">
        <v>253</v>
      </c>
      <c r="K189" s="14">
        <v>9.6039999999999995E-5</v>
      </c>
    </row>
    <row r="190" spans="1:11" ht="176" customHeight="1" x14ac:dyDescent="0.15">
      <c r="A190" s="9">
        <v>2298</v>
      </c>
      <c r="B190" s="10" t="s">
        <v>569</v>
      </c>
      <c r="C190" s="11" t="s">
        <v>570</v>
      </c>
      <c r="D190" s="11" t="s">
        <v>571</v>
      </c>
      <c r="E190" s="13">
        <v>1</v>
      </c>
      <c r="F190" s="13">
        <v>1</v>
      </c>
      <c r="G190" s="7">
        <f t="shared" si="2"/>
        <v>1</v>
      </c>
      <c r="H190" s="13">
        <v>62</v>
      </c>
      <c r="I190" s="13">
        <v>209</v>
      </c>
      <c r="J190" s="13">
        <v>271</v>
      </c>
      <c r="K190" s="13">
        <v>1.7225000000000001E-4</v>
      </c>
    </row>
    <row r="191" spans="1:11" ht="344" customHeight="1" x14ac:dyDescent="0.15">
      <c r="A191" s="9">
        <v>5364</v>
      </c>
      <c r="B191" s="10" t="s">
        <v>572</v>
      </c>
      <c r="C191" s="11" t="s">
        <v>573</v>
      </c>
      <c r="D191" s="11" t="s">
        <v>574</v>
      </c>
      <c r="E191" s="13">
        <v>4000</v>
      </c>
      <c r="F191" s="13">
        <v>4000</v>
      </c>
      <c r="G191" s="7">
        <f t="shared" si="2"/>
        <v>1</v>
      </c>
      <c r="H191" s="13">
        <v>100</v>
      </c>
      <c r="I191" s="13">
        <v>402</v>
      </c>
      <c r="J191" s="13">
        <v>502</v>
      </c>
      <c r="K191" s="13">
        <v>1.7430000000000001E-4</v>
      </c>
    </row>
    <row r="192" spans="1:11" ht="320" customHeight="1" x14ac:dyDescent="0.15">
      <c r="A192" s="9">
        <v>3872</v>
      </c>
      <c r="B192" s="10" t="s">
        <v>575</v>
      </c>
      <c r="C192" s="11" t="s">
        <v>576</v>
      </c>
      <c r="D192" s="11" t="s">
        <v>577</v>
      </c>
      <c r="E192" s="13">
        <v>55</v>
      </c>
      <c r="F192" s="13">
        <v>55</v>
      </c>
      <c r="G192" s="7">
        <f t="shared" si="2"/>
        <v>1</v>
      </c>
      <c r="H192" s="13">
        <v>128</v>
      </c>
      <c r="I192" s="13">
        <v>291</v>
      </c>
      <c r="J192" s="13">
        <v>419</v>
      </c>
      <c r="K192" s="13">
        <v>1.0592E-4</v>
      </c>
    </row>
    <row r="193" spans="1:11" ht="248" customHeight="1" x14ac:dyDescent="0.15">
      <c r="A193" s="9">
        <v>4516</v>
      </c>
      <c r="B193" s="10" t="s">
        <v>578</v>
      </c>
      <c r="C193" s="11" t="s">
        <v>579</v>
      </c>
      <c r="D193" s="11" t="s">
        <v>580</v>
      </c>
      <c r="E193" s="13">
        <v>35</v>
      </c>
      <c r="F193" s="13">
        <v>35</v>
      </c>
      <c r="G193" s="7">
        <f t="shared" si="2"/>
        <v>1</v>
      </c>
      <c r="H193" s="13">
        <v>149</v>
      </c>
      <c r="I193" s="13">
        <v>281</v>
      </c>
      <c r="J193" s="13">
        <v>430</v>
      </c>
      <c r="K193" s="13">
        <v>2.4800000000000001E-4</v>
      </c>
    </row>
    <row r="194" spans="1:11" ht="44" customHeight="1" x14ac:dyDescent="0.15">
      <c r="A194" s="9">
        <v>79</v>
      </c>
      <c r="B194" s="10" t="s">
        <v>581</v>
      </c>
      <c r="C194" s="11" t="s">
        <v>582</v>
      </c>
      <c r="D194" s="11" t="s">
        <v>440</v>
      </c>
      <c r="E194" s="12"/>
      <c r="F194" s="13">
        <v>70</v>
      </c>
      <c r="G194" s="7">
        <f t="shared" si="2"/>
        <v>0</v>
      </c>
      <c r="H194" s="13">
        <v>53</v>
      </c>
      <c r="I194" s="13">
        <v>4</v>
      </c>
      <c r="J194" s="13">
        <v>57</v>
      </c>
      <c r="K194" s="14">
        <v>1.366E-5</v>
      </c>
    </row>
    <row r="195" spans="1:11" ht="128" customHeight="1" x14ac:dyDescent="0.15">
      <c r="A195" s="9">
        <v>6301</v>
      </c>
      <c r="B195" s="10" t="s">
        <v>583</v>
      </c>
      <c r="C195" s="11" t="s">
        <v>584</v>
      </c>
      <c r="D195" s="11" t="s">
        <v>585</v>
      </c>
      <c r="E195" s="13">
        <v>55</v>
      </c>
      <c r="F195" s="13">
        <v>55</v>
      </c>
      <c r="G195" s="7">
        <f t="shared" si="2"/>
        <v>1</v>
      </c>
      <c r="H195" s="13">
        <v>56</v>
      </c>
      <c r="I195" s="13">
        <v>99</v>
      </c>
      <c r="J195" s="13">
        <v>155</v>
      </c>
      <c r="K195" s="14">
        <v>3.7280000000000002E-5</v>
      </c>
    </row>
    <row r="196" spans="1:11" ht="44" customHeight="1" x14ac:dyDescent="0.15">
      <c r="A196" s="9">
        <v>2436</v>
      </c>
      <c r="B196" s="10" t="s">
        <v>586</v>
      </c>
      <c r="C196" s="11" t="s">
        <v>587</v>
      </c>
      <c r="D196" s="11" t="s">
        <v>588</v>
      </c>
      <c r="E196" s="13">
        <v>25</v>
      </c>
      <c r="F196" s="13">
        <v>5</v>
      </c>
      <c r="G196" s="7">
        <f t="shared" ref="G196:G259" si="3">IF(OR(ISBLANK(E196), ISBLANK(F196)), 0, IF(E196=F196, 1, 0))</f>
        <v>0</v>
      </c>
      <c r="H196" s="13">
        <v>88</v>
      </c>
      <c r="I196" s="13">
        <v>4</v>
      </c>
      <c r="J196" s="13">
        <v>92</v>
      </c>
      <c r="K196" s="15">
        <v>3.4795999999999997E-5</v>
      </c>
    </row>
    <row r="197" spans="1:11" ht="296" customHeight="1" x14ac:dyDescent="0.15">
      <c r="A197" s="9">
        <v>4284</v>
      </c>
      <c r="B197" s="10" t="s">
        <v>589</v>
      </c>
      <c r="C197" s="11" t="s">
        <v>590</v>
      </c>
      <c r="D197" s="11" t="s">
        <v>591</v>
      </c>
      <c r="E197" s="13">
        <v>360</v>
      </c>
      <c r="F197" s="13">
        <v>360</v>
      </c>
      <c r="G197" s="7">
        <f t="shared" si="3"/>
        <v>1</v>
      </c>
      <c r="H197" s="13">
        <v>65</v>
      </c>
      <c r="I197" s="13">
        <v>299</v>
      </c>
      <c r="J197" s="13">
        <v>364</v>
      </c>
      <c r="K197" s="13">
        <v>1.0218E-4</v>
      </c>
    </row>
    <row r="198" spans="1:11" ht="152" customHeight="1" x14ac:dyDescent="0.15">
      <c r="A198" s="9">
        <v>5162</v>
      </c>
      <c r="B198" s="10" t="s">
        <v>592</v>
      </c>
      <c r="C198" s="11" t="s">
        <v>593</v>
      </c>
      <c r="D198" s="11" t="s">
        <v>594</v>
      </c>
      <c r="E198" s="13">
        <v>2</v>
      </c>
      <c r="F198" s="13">
        <v>2</v>
      </c>
      <c r="G198" s="7">
        <f t="shared" si="3"/>
        <v>1</v>
      </c>
      <c r="H198" s="13">
        <v>56</v>
      </c>
      <c r="I198" s="13">
        <v>142</v>
      </c>
      <c r="J198" s="13">
        <v>198</v>
      </c>
      <c r="K198" s="14">
        <v>5.1039999999999999E-5</v>
      </c>
    </row>
    <row r="199" spans="1:11" ht="152" customHeight="1" x14ac:dyDescent="0.15">
      <c r="A199" s="9">
        <v>7348</v>
      </c>
      <c r="B199" s="10" t="s">
        <v>595</v>
      </c>
      <c r="C199" s="11" t="s">
        <v>596</v>
      </c>
      <c r="D199" s="11" t="s">
        <v>597</v>
      </c>
      <c r="E199" s="13">
        <v>33</v>
      </c>
      <c r="F199" s="13">
        <v>33</v>
      </c>
      <c r="G199" s="7">
        <f t="shared" si="3"/>
        <v>1</v>
      </c>
      <c r="H199" s="13">
        <v>62</v>
      </c>
      <c r="I199" s="13">
        <v>139</v>
      </c>
      <c r="J199" s="13">
        <v>201</v>
      </c>
      <c r="K199" s="13">
        <v>1.4270999999999999E-4</v>
      </c>
    </row>
    <row r="200" spans="1:11" ht="200" customHeight="1" x14ac:dyDescent="0.15">
      <c r="A200" s="9">
        <v>1662</v>
      </c>
      <c r="B200" s="10" t="s">
        <v>598</v>
      </c>
      <c r="C200" s="11" t="s">
        <v>599</v>
      </c>
      <c r="D200" s="11" t="s">
        <v>600</v>
      </c>
      <c r="E200" s="13">
        <v>15</v>
      </c>
      <c r="F200" s="13">
        <v>15</v>
      </c>
      <c r="G200" s="7">
        <f t="shared" si="3"/>
        <v>1</v>
      </c>
      <c r="H200" s="13">
        <v>85</v>
      </c>
      <c r="I200" s="13">
        <v>176</v>
      </c>
      <c r="J200" s="13">
        <v>261</v>
      </c>
      <c r="K200" s="13">
        <v>1.5325000000000001E-4</v>
      </c>
    </row>
    <row r="201" spans="1:11" ht="272" customHeight="1" x14ac:dyDescent="0.15">
      <c r="A201" s="9">
        <v>3689</v>
      </c>
      <c r="B201" s="10" t="s">
        <v>601</v>
      </c>
      <c r="C201" s="11" t="s">
        <v>602</v>
      </c>
      <c r="D201" s="11" t="s">
        <v>603</v>
      </c>
      <c r="E201" s="13">
        <v>6</v>
      </c>
      <c r="F201" s="13">
        <v>6</v>
      </c>
      <c r="G201" s="7">
        <f t="shared" si="3"/>
        <v>1</v>
      </c>
      <c r="H201" s="13">
        <v>88</v>
      </c>
      <c r="I201" s="13">
        <v>291</v>
      </c>
      <c r="J201" s="13">
        <v>379</v>
      </c>
      <c r="K201" s="13">
        <v>1.0192E-4</v>
      </c>
    </row>
    <row r="202" spans="1:11" ht="284" customHeight="1" x14ac:dyDescent="0.15">
      <c r="A202" s="9">
        <v>3125</v>
      </c>
      <c r="B202" s="10" t="s">
        <v>604</v>
      </c>
      <c r="C202" s="11" t="s">
        <v>605</v>
      </c>
      <c r="D202" s="11" t="s">
        <v>606</v>
      </c>
      <c r="E202" s="13">
        <v>20</v>
      </c>
      <c r="F202" s="13">
        <v>20</v>
      </c>
      <c r="G202" s="7">
        <f t="shared" si="3"/>
        <v>1</v>
      </c>
      <c r="H202" s="13">
        <v>98</v>
      </c>
      <c r="I202" s="13">
        <v>307</v>
      </c>
      <c r="J202" s="13">
        <v>405</v>
      </c>
      <c r="K202" s="13">
        <v>1.0804E-4</v>
      </c>
    </row>
    <row r="203" spans="1:11" ht="164" customHeight="1" x14ac:dyDescent="0.15">
      <c r="A203" s="9">
        <v>3055</v>
      </c>
      <c r="B203" s="10" t="s">
        <v>607</v>
      </c>
      <c r="C203" s="11" t="s">
        <v>608</v>
      </c>
      <c r="D203" s="11" t="s">
        <v>609</v>
      </c>
      <c r="E203" s="13">
        <v>64</v>
      </c>
      <c r="F203" s="13">
        <v>64</v>
      </c>
      <c r="G203" s="7">
        <f t="shared" si="3"/>
        <v>1</v>
      </c>
      <c r="H203" s="13">
        <v>62</v>
      </c>
      <c r="I203" s="13">
        <v>146</v>
      </c>
      <c r="J203" s="13">
        <v>208</v>
      </c>
      <c r="K203" s="14">
        <v>5.2920000000000002E-5</v>
      </c>
    </row>
    <row r="204" spans="1:11" ht="140" customHeight="1" x14ac:dyDescent="0.15">
      <c r="A204" s="9">
        <v>2886</v>
      </c>
      <c r="B204" s="10" t="s">
        <v>610</v>
      </c>
      <c r="C204" s="11" t="s">
        <v>611</v>
      </c>
      <c r="D204" s="11" t="s">
        <v>612</v>
      </c>
      <c r="E204" s="13">
        <v>495</v>
      </c>
      <c r="F204" s="13">
        <v>495</v>
      </c>
      <c r="G204" s="7">
        <f t="shared" si="3"/>
        <v>1</v>
      </c>
      <c r="H204" s="13">
        <v>56</v>
      </c>
      <c r="I204" s="13">
        <v>127</v>
      </c>
      <c r="J204" s="13">
        <v>183</v>
      </c>
      <c r="K204" s="14">
        <v>5.8359999999999997E-5</v>
      </c>
    </row>
    <row r="205" spans="1:11" ht="68" customHeight="1" x14ac:dyDescent="0.15">
      <c r="A205" s="9">
        <v>5086</v>
      </c>
      <c r="B205" s="10" t="s">
        <v>613</v>
      </c>
      <c r="C205" s="11" t="s">
        <v>614</v>
      </c>
      <c r="D205" s="11" t="s">
        <v>377</v>
      </c>
      <c r="E205" s="13">
        <v>9</v>
      </c>
      <c r="F205" s="13">
        <v>7</v>
      </c>
      <c r="G205" s="7">
        <f t="shared" si="3"/>
        <v>0</v>
      </c>
      <c r="H205" s="13">
        <v>130</v>
      </c>
      <c r="I205" s="13">
        <v>4</v>
      </c>
      <c r="J205" s="13">
        <v>134</v>
      </c>
      <c r="K205" s="14">
        <v>9.6479999999999998E-5</v>
      </c>
    </row>
    <row r="206" spans="1:11" ht="176" customHeight="1" x14ac:dyDescent="0.15">
      <c r="A206" s="9">
        <v>4076</v>
      </c>
      <c r="B206" s="10" t="s">
        <v>615</v>
      </c>
      <c r="C206" s="11" t="s">
        <v>616</v>
      </c>
      <c r="D206" s="11" t="s">
        <v>617</v>
      </c>
      <c r="E206" s="12">
        <v>45</v>
      </c>
      <c r="F206" s="13">
        <v>45</v>
      </c>
      <c r="G206" s="7">
        <f t="shared" si="3"/>
        <v>1</v>
      </c>
      <c r="H206" s="13">
        <v>79</v>
      </c>
      <c r="I206" s="13">
        <v>203</v>
      </c>
      <c r="J206" s="13">
        <v>282</v>
      </c>
      <c r="K206" s="13">
        <v>1.7200000000000001E-4</v>
      </c>
    </row>
    <row r="207" spans="1:11" ht="188" customHeight="1" x14ac:dyDescent="0.15">
      <c r="A207" s="9">
        <v>251</v>
      </c>
      <c r="B207" s="10" t="s">
        <v>618</v>
      </c>
      <c r="C207" s="11" t="s">
        <v>619</v>
      </c>
      <c r="D207" s="11" t="s">
        <v>620</v>
      </c>
      <c r="E207" s="13">
        <v>138</v>
      </c>
      <c r="F207" s="13">
        <v>138</v>
      </c>
      <c r="G207" s="7">
        <f t="shared" si="3"/>
        <v>1</v>
      </c>
      <c r="H207" s="13">
        <v>84</v>
      </c>
      <c r="I207" s="13">
        <v>209</v>
      </c>
      <c r="J207" s="13">
        <v>293</v>
      </c>
      <c r="K207" s="13">
        <v>1.7775000000000001E-4</v>
      </c>
    </row>
    <row r="208" spans="1:11" ht="260" customHeight="1" x14ac:dyDescent="0.15">
      <c r="A208" s="9">
        <v>1328</v>
      </c>
      <c r="B208" s="10" t="s">
        <v>621</v>
      </c>
      <c r="C208" s="11" t="s">
        <v>622</v>
      </c>
      <c r="D208" s="11" t="s">
        <v>623</v>
      </c>
      <c r="E208" s="13">
        <v>140</v>
      </c>
      <c r="F208" s="13">
        <v>140</v>
      </c>
      <c r="G208" s="7">
        <f t="shared" si="3"/>
        <v>1</v>
      </c>
      <c r="H208" s="13">
        <v>103</v>
      </c>
      <c r="I208" s="13">
        <v>212</v>
      </c>
      <c r="J208" s="13">
        <v>315</v>
      </c>
      <c r="K208" s="15">
        <v>9.8704999999999998E-5</v>
      </c>
    </row>
    <row r="209" spans="1:11" ht="248" customHeight="1" x14ac:dyDescent="0.15">
      <c r="A209" s="9">
        <v>711</v>
      </c>
      <c r="B209" s="10" t="s">
        <v>624</v>
      </c>
      <c r="C209" s="11" t="s">
        <v>625</v>
      </c>
      <c r="D209" s="11" t="s">
        <v>626</v>
      </c>
      <c r="E209" s="13">
        <v>120</v>
      </c>
      <c r="F209" s="13">
        <v>120</v>
      </c>
      <c r="G209" s="7">
        <f t="shared" si="3"/>
        <v>1</v>
      </c>
      <c r="H209" s="13">
        <v>64</v>
      </c>
      <c r="I209" s="13">
        <v>246</v>
      </c>
      <c r="J209" s="13">
        <v>310</v>
      </c>
      <c r="K209" s="13">
        <v>2.0049999999999999E-4</v>
      </c>
    </row>
    <row r="210" spans="1:11" ht="44" customHeight="1" x14ac:dyDescent="0.15">
      <c r="A210" s="9">
        <v>706</v>
      </c>
      <c r="B210" s="10" t="s">
        <v>627</v>
      </c>
      <c r="C210" s="11" t="s">
        <v>628</v>
      </c>
      <c r="D210" s="11" t="s">
        <v>629</v>
      </c>
      <c r="E210" s="12"/>
      <c r="F210" s="13">
        <v>20</v>
      </c>
      <c r="G210" s="7">
        <f t="shared" si="3"/>
        <v>0</v>
      </c>
      <c r="H210" s="13">
        <v>57</v>
      </c>
      <c r="I210" s="13">
        <v>4</v>
      </c>
      <c r="J210" s="13">
        <v>61</v>
      </c>
      <c r="K210" s="14">
        <v>1.7249999999999999E-5</v>
      </c>
    </row>
    <row r="211" spans="1:11" ht="140" customHeight="1" x14ac:dyDescent="0.15">
      <c r="A211" s="9">
        <v>6540</v>
      </c>
      <c r="B211" s="10" t="s">
        <v>630</v>
      </c>
      <c r="C211" s="11" t="s">
        <v>631</v>
      </c>
      <c r="D211" s="11" t="s">
        <v>632</v>
      </c>
      <c r="E211" s="13">
        <v>44</v>
      </c>
      <c r="F211" s="13">
        <v>56</v>
      </c>
      <c r="G211" s="7">
        <f t="shared" si="3"/>
        <v>0</v>
      </c>
      <c r="H211" s="13">
        <v>63</v>
      </c>
      <c r="I211" s="13">
        <v>146</v>
      </c>
      <c r="J211" s="13">
        <v>209</v>
      </c>
      <c r="K211" s="14">
        <v>5.3019999999999997E-5</v>
      </c>
    </row>
    <row r="212" spans="1:11" ht="116" customHeight="1" x14ac:dyDescent="0.15">
      <c r="A212" s="9">
        <v>6576</v>
      </c>
      <c r="B212" s="10" t="s">
        <v>633</v>
      </c>
      <c r="C212" s="11" t="s">
        <v>634</v>
      </c>
      <c r="D212" s="11" t="s">
        <v>635</v>
      </c>
      <c r="E212" s="13">
        <v>13</v>
      </c>
      <c r="F212" s="13">
        <v>13</v>
      </c>
      <c r="G212" s="7">
        <f t="shared" si="3"/>
        <v>1</v>
      </c>
      <c r="H212" s="13">
        <v>87</v>
      </c>
      <c r="I212" s="13">
        <v>121</v>
      </c>
      <c r="J212" s="13">
        <v>208</v>
      </c>
      <c r="K212" s="14">
        <v>4.7420000000000003E-5</v>
      </c>
    </row>
    <row r="213" spans="1:11" ht="164" customHeight="1" x14ac:dyDescent="0.15">
      <c r="A213" s="9">
        <v>3501</v>
      </c>
      <c r="B213" s="10" t="s">
        <v>636</v>
      </c>
      <c r="C213" s="11" t="s">
        <v>637</v>
      </c>
      <c r="D213" s="11" t="s">
        <v>638</v>
      </c>
      <c r="E213" s="13">
        <v>4</v>
      </c>
      <c r="F213" s="13">
        <v>4</v>
      </c>
      <c r="G213" s="7">
        <f t="shared" si="3"/>
        <v>1</v>
      </c>
      <c r="H213" s="13">
        <v>70</v>
      </c>
      <c r="I213" s="13">
        <v>174</v>
      </c>
      <c r="J213" s="13">
        <v>244</v>
      </c>
      <c r="K213" s="14">
        <v>6.2680000000000003E-5</v>
      </c>
    </row>
    <row r="214" spans="1:11" ht="308" customHeight="1" x14ac:dyDescent="0.15">
      <c r="A214" s="9">
        <v>2954</v>
      </c>
      <c r="B214" s="10" t="s">
        <v>639</v>
      </c>
      <c r="C214" s="11" t="s">
        <v>640</v>
      </c>
      <c r="D214" s="11" t="s">
        <v>641</v>
      </c>
      <c r="E214" s="13">
        <v>440</v>
      </c>
      <c r="F214" s="13">
        <v>440</v>
      </c>
      <c r="G214" s="7">
        <f t="shared" si="3"/>
        <v>1</v>
      </c>
      <c r="H214" s="13">
        <v>79</v>
      </c>
      <c r="I214" s="13">
        <v>363</v>
      </c>
      <c r="J214" s="13">
        <v>442</v>
      </c>
      <c r="K214" s="13">
        <v>2.92E-4</v>
      </c>
    </row>
    <row r="215" spans="1:11" ht="200" customHeight="1" x14ac:dyDescent="0.15">
      <c r="A215" s="9">
        <v>4900</v>
      </c>
      <c r="B215" s="10" t="s">
        <v>642</v>
      </c>
      <c r="C215" s="11" t="s">
        <v>643</v>
      </c>
      <c r="D215" s="11" t="s">
        <v>644</v>
      </c>
      <c r="E215" s="13">
        <v>28</v>
      </c>
      <c r="F215" s="13">
        <v>28</v>
      </c>
      <c r="G215" s="7">
        <f t="shared" si="3"/>
        <v>1</v>
      </c>
      <c r="H215" s="13">
        <v>66</v>
      </c>
      <c r="I215" s="13">
        <v>140</v>
      </c>
      <c r="J215" s="13">
        <v>206</v>
      </c>
      <c r="K215" s="14">
        <v>6.491E-5</v>
      </c>
    </row>
    <row r="216" spans="1:11" ht="260" customHeight="1" x14ac:dyDescent="0.15">
      <c r="A216" s="9">
        <v>1623</v>
      </c>
      <c r="B216" s="10" t="s">
        <v>645</v>
      </c>
      <c r="C216" s="11" t="s">
        <v>646</v>
      </c>
      <c r="D216" s="11" t="s">
        <v>647</v>
      </c>
      <c r="E216" s="13">
        <v>240</v>
      </c>
      <c r="F216" s="13">
        <v>240</v>
      </c>
      <c r="G216" s="7">
        <f t="shared" si="3"/>
        <v>1</v>
      </c>
      <c r="H216" s="13">
        <v>94</v>
      </c>
      <c r="I216" s="13">
        <v>335</v>
      </c>
      <c r="J216" s="13">
        <v>429</v>
      </c>
      <c r="K216" s="13">
        <v>1.9139999999999999E-4</v>
      </c>
    </row>
    <row r="217" spans="1:11" ht="116" customHeight="1" x14ac:dyDescent="0.15">
      <c r="A217" s="9">
        <v>2399</v>
      </c>
      <c r="B217" s="10" t="s">
        <v>648</v>
      </c>
      <c r="C217" s="11" t="s">
        <v>649</v>
      </c>
      <c r="D217" s="11" t="s">
        <v>650</v>
      </c>
      <c r="E217" s="13">
        <v>40</v>
      </c>
      <c r="F217" s="13">
        <v>40</v>
      </c>
      <c r="G217" s="7">
        <f t="shared" si="3"/>
        <v>1</v>
      </c>
      <c r="H217" s="13">
        <v>68</v>
      </c>
      <c r="I217" s="13">
        <v>106</v>
      </c>
      <c r="J217" s="13">
        <v>174</v>
      </c>
      <c r="K217" s="14">
        <v>4.0720000000000003E-5</v>
      </c>
    </row>
    <row r="218" spans="1:11" ht="176" customHeight="1" x14ac:dyDescent="0.15">
      <c r="A218" s="9">
        <v>6704</v>
      </c>
      <c r="B218" s="10" t="s">
        <v>651</v>
      </c>
      <c r="C218" s="11" t="s">
        <v>652</v>
      </c>
      <c r="D218" s="11" t="s">
        <v>653</v>
      </c>
      <c r="E218" s="12">
        <v>2700</v>
      </c>
      <c r="F218" s="13">
        <v>2700</v>
      </c>
      <c r="G218" s="7">
        <f t="shared" si="3"/>
        <v>1</v>
      </c>
      <c r="H218" s="13">
        <v>71</v>
      </c>
      <c r="I218" s="13">
        <v>171</v>
      </c>
      <c r="J218" s="13">
        <v>242</v>
      </c>
      <c r="K218" s="14">
        <v>6.1820000000000001E-5</v>
      </c>
    </row>
    <row r="219" spans="1:11" ht="409.5" customHeight="1" x14ac:dyDescent="0.15">
      <c r="A219" s="9">
        <v>4626</v>
      </c>
      <c r="B219" s="10" t="s">
        <v>654</v>
      </c>
      <c r="C219" s="11" t="s">
        <v>655</v>
      </c>
      <c r="D219" s="19" t="s">
        <v>656</v>
      </c>
      <c r="E219" s="13">
        <v>60000</v>
      </c>
      <c r="F219" s="12">
        <v>60000</v>
      </c>
      <c r="G219" s="7">
        <f t="shared" si="3"/>
        <v>1</v>
      </c>
      <c r="H219" s="13">
        <v>95</v>
      </c>
      <c r="I219" s="13">
        <v>499</v>
      </c>
      <c r="J219" s="13">
        <v>594</v>
      </c>
      <c r="K219" s="13">
        <v>3.9800000000000002E-4</v>
      </c>
    </row>
    <row r="220" spans="1:11" ht="176" customHeight="1" x14ac:dyDescent="0.15">
      <c r="A220" s="9">
        <v>2589</v>
      </c>
      <c r="B220" s="10" t="s">
        <v>657</v>
      </c>
      <c r="C220" s="11" t="s">
        <v>658</v>
      </c>
      <c r="D220" s="11" t="s">
        <v>659</v>
      </c>
      <c r="E220" s="13">
        <v>40</v>
      </c>
      <c r="F220" s="13">
        <v>40</v>
      </c>
      <c r="G220" s="7">
        <f t="shared" si="3"/>
        <v>1</v>
      </c>
      <c r="H220" s="13">
        <v>74</v>
      </c>
      <c r="I220" s="13">
        <v>191</v>
      </c>
      <c r="J220" s="13">
        <v>265</v>
      </c>
      <c r="K220" s="14">
        <v>8.6390000000000005E-5</v>
      </c>
    </row>
    <row r="221" spans="1:11" ht="296" customHeight="1" x14ac:dyDescent="0.15">
      <c r="A221" s="9">
        <v>429</v>
      </c>
      <c r="B221" s="10" t="s">
        <v>660</v>
      </c>
      <c r="C221" s="11" t="s">
        <v>661</v>
      </c>
      <c r="D221" s="11" t="s">
        <v>662</v>
      </c>
      <c r="E221" s="13">
        <v>736</v>
      </c>
      <c r="F221" s="13">
        <v>736</v>
      </c>
      <c r="G221" s="7">
        <f t="shared" si="3"/>
        <v>1</v>
      </c>
      <c r="H221" s="13">
        <v>77</v>
      </c>
      <c r="I221" s="13">
        <v>295</v>
      </c>
      <c r="J221" s="13">
        <v>372</v>
      </c>
      <c r="K221" s="13">
        <v>1.2839500000000001E-4</v>
      </c>
    </row>
    <row r="222" spans="1:11" ht="188" customHeight="1" x14ac:dyDescent="0.15">
      <c r="A222" s="9">
        <v>177</v>
      </c>
      <c r="B222" s="10" t="s">
        <v>663</v>
      </c>
      <c r="C222" s="11" t="s">
        <v>664</v>
      </c>
      <c r="D222" s="11" t="s">
        <v>665</v>
      </c>
      <c r="E222" s="12"/>
      <c r="F222" s="13">
        <v>11000</v>
      </c>
      <c r="G222" s="7">
        <f t="shared" si="3"/>
        <v>0</v>
      </c>
      <c r="H222" s="13">
        <v>103</v>
      </c>
      <c r="I222" s="13">
        <v>239</v>
      </c>
      <c r="J222" s="13">
        <v>342</v>
      </c>
      <c r="K222" s="13">
        <v>1.4168000000000001E-4</v>
      </c>
    </row>
    <row r="223" spans="1:11" ht="176" customHeight="1" x14ac:dyDescent="0.15">
      <c r="A223" s="9">
        <v>1509</v>
      </c>
      <c r="B223" s="10" t="s">
        <v>666</v>
      </c>
      <c r="C223" s="11" t="s">
        <v>667</v>
      </c>
      <c r="D223" s="11" t="s">
        <v>668</v>
      </c>
      <c r="E223" s="13">
        <v>6</v>
      </c>
      <c r="F223" s="13">
        <v>6</v>
      </c>
      <c r="G223" s="7">
        <f t="shared" si="3"/>
        <v>1</v>
      </c>
      <c r="H223" s="13">
        <v>59</v>
      </c>
      <c r="I223" s="13">
        <v>122</v>
      </c>
      <c r="J223" s="13">
        <v>181</v>
      </c>
      <c r="K223" s="14">
        <v>4.494E-5</v>
      </c>
    </row>
    <row r="224" spans="1:11" ht="164" customHeight="1" x14ac:dyDescent="0.15">
      <c r="A224" s="9">
        <v>4766</v>
      </c>
      <c r="B224" s="10" t="s">
        <v>669</v>
      </c>
      <c r="C224" s="11" t="s">
        <v>670</v>
      </c>
      <c r="D224" s="11" t="s">
        <v>671</v>
      </c>
      <c r="E224" s="13">
        <v>3</v>
      </c>
      <c r="F224" s="13">
        <v>3</v>
      </c>
      <c r="G224" s="7">
        <f t="shared" si="3"/>
        <v>1</v>
      </c>
      <c r="H224" s="13">
        <v>98</v>
      </c>
      <c r="I224" s="13">
        <v>165</v>
      </c>
      <c r="J224" s="13">
        <v>263</v>
      </c>
      <c r="K224" s="16">
        <v>6.2600000000000004E-5</v>
      </c>
    </row>
    <row r="225" spans="1:11" ht="56" customHeight="1" x14ac:dyDescent="0.15">
      <c r="A225" s="9">
        <v>5396</v>
      </c>
      <c r="B225" s="10" t="s">
        <v>672</v>
      </c>
      <c r="C225" s="11" t="s">
        <v>673</v>
      </c>
      <c r="D225" s="11" t="s">
        <v>674</v>
      </c>
      <c r="E225" s="13">
        <v>130</v>
      </c>
      <c r="F225" s="13">
        <v>130</v>
      </c>
      <c r="G225" s="7">
        <f t="shared" si="3"/>
        <v>1</v>
      </c>
      <c r="H225" s="13">
        <v>93</v>
      </c>
      <c r="I225" s="13">
        <v>4</v>
      </c>
      <c r="J225" s="13">
        <v>97</v>
      </c>
      <c r="K225" s="14">
        <v>1.058E-5</v>
      </c>
    </row>
    <row r="226" spans="1:11" ht="380" customHeight="1" x14ac:dyDescent="0.15">
      <c r="A226" s="9">
        <v>1144</v>
      </c>
      <c r="B226" s="10" t="s">
        <v>675</v>
      </c>
      <c r="C226" s="11" t="s">
        <v>676</v>
      </c>
      <c r="D226" s="11" t="s">
        <v>677</v>
      </c>
      <c r="E226" s="13">
        <v>28</v>
      </c>
      <c r="F226" s="13">
        <v>28</v>
      </c>
      <c r="G226" s="7">
        <f t="shared" si="3"/>
        <v>1</v>
      </c>
      <c r="H226" s="13">
        <v>78</v>
      </c>
      <c r="I226" s="13">
        <v>410</v>
      </c>
      <c r="J226" s="13">
        <v>488</v>
      </c>
      <c r="K226" s="13">
        <v>3.2699999999999998E-4</v>
      </c>
    </row>
    <row r="227" spans="1:11" ht="56" customHeight="1" x14ac:dyDescent="0.15">
      <c r="A227" s="9">
        <v>6147</v>
      </c>
      <c r="B227" s="10" t="s">
        <v>678</v>
      </c>
      <c r="C227" s="11" t="s">
        <v>679</v>
      </c>
      <c r="D227" s="11" t="s">
        <v>680</v>
      </c>
      <c r="E227" s="13">
        <v>22</v>
      </c>
      <c r="F227" s="13">
        <v>28</v>
      </c>
      <c r="G227" s="7">
        <f t="shared" si="3"/>
        <v>0</v>
      </c>
      <c r="H227" s="13">
        <v>47</v>
      </c>
      <c r="I227" s="13">
        <v>4</v>
      </c>
      <c r="J227" s="13">
        <v>51</v>
      </c>
      <c r="K227" s="16">
        <v>5.9800000000000003E-6</v>
      </c>
    </row>
    <row r="228" spans="1:11" ht="188" customHeight="1" x14ac:dyDescent="0.15">
      <c r="A228" s="9">
        <v>6194</v>
      </c>
      <c r="B228" s="10" t="s">
        <v>681</v>
      </c>
      <c r="C228" s="11" t="s">
        <v>682</v>
      </c>
      <c r="D228" s="11" t="s">
        <v>683</v>
      </c>
      <c r="E228" s="13">
        <v>67</v>
      </c>
      <c r="F228" s="13">
        <v>67</v>
      </c>
      <c r="G228" s="7">
        <f t="shared" si="3"/>
        <v>1</v>
      </c>
      <c r="H228" s="13">
        <v>75</v>
      </c>
      <c r="I228" s="13">
        <v>121</v>
      </c>
      <c r="J228" s="13">
        <v>196</v>
      </c>
      <c r="K228" s="14">
        <v>4.6220000000000001E-5</v>
      </c>
    </row>
    <row r="229" spans="1:11" ht="44" customHeight="1" x14ac:dyDescent="0.15">
      <c r="A229" s="9">
        <v>538</v>
      </c>
      <c r="B229" s="10" t="s">
        <v>684</v>
      </c>
      <c r="C229" s="11" t="s">
        <v>685</v>
      </c>
      <c r="D229" s="11" t="s">
        <v>686</v>
      </c>
      <c r="E229" s="13">
        <v>3450</v>
      </c>
      <c r="F229" s="13">
        <v>3450</v>
      </c>
      <c r="G229" s="7">
        <f t="shared" si="3"/>
        <v>1</v>
      </c>
      <c r="H229" s="13">
        <v>73</v>
      </c>
      <c r="I229" s="13">
        <v>5</v>
      </c>
      <c r="J229" s="13">
        <v>78</v>
      </c>
      <c r="K229" s="17">
        <v>1.4E-5</v>
      </c>
    </row>
    <row r="230" spans="1:11" ht="56" customHeight="1" x14ac:dyDescent="0.15">
      <c r="A230" s="9">
        <v>263</v>
      </c>
      <c r="B230" s="10" t="s">
        <v>687</v>
      </c>
      <c r="C230" s="11" t="s">
        <v>688</v>
      </c>
      <c r="D230" s="11" t="s">
        <v>689</v>
      </c>
      <c r="E230" s="12"/>
      <c r="F230" s="13">
        <v>30</v>
      </c>
      <c r="G230" s="7">
        <f t="shared" si="3"/>
        <v>0</v>
      </c>
      <c r="H230" s="13">
        <v>86</v>
      </c>
      <c r="I230" s="13">
        <v>6</v>
      </c>
      <c r="J230" s="13">
        <v>92</v>
      </c>
      <c r="K230" s="14">
        <v>1.872E-5</v>
      </c>
    </row>
    <row r="231" spans="1:11" ht="409.5" customHeight="1" x14ac:dyDescent="0.15">
      <c r="A231" s="9">
        <v>5992</v>
      </c>
      <c r="B231" s="10" t="s">
        <v>690</v>
      </c>
      <c r="C231" s="11" t="s">
        <v>691</v>
      </c>
      <c r="D231" s="11" t="s">
        <v>692</v>
      </c>
      <c r="E231" s="12"/>
      <c r="F231" s="13">
        <v>5000</v>
      </c>
      <c r="G231" s="7">
        <f t="shared" si="3"/>
        <v>0</v>
      </c>
      <c r="H231" s="13">
        <v>69</v>
      </c>
      <c r="I231" s="13">
        <v>396</v>
      </c>
      <c r="J231" s="13">
        <v>465</v>
      </c>
      <c r="K231" s="13">
        <v>1.3362000000000001E-4</v>
      </c>
    </row>
    <row r="232" spans="1:11" ht="152" customHeight="1" x14ac:dyDescent="0.15">
      <c r="A232" s="9">
        <v>7423</v>
      </c>
      <c r="B232" s="10" t="s">
        <v>693</v>
      </c>
      <c r="C232" s="11" t="s">
        <v>694</v>
      </c>
      <c r="D232" s="11" t="s">
        <v>695</v>
      </c>
      <c r="E232" s="13">
        <v>10</v>
      </c>
      <c r="F232" s="13">
        <v>10</v>
      </c>
      <c r="G232" s="7">
        <f t="shared" si="3"/>
        <v>1</v>
      </c>
      <c r="H232" s="13">
        <v>62</v>
      </c>
      <c r="I232" s="13">
        <v>129</v>
      </c>
      <c r="J232" s="13">
        <v>191</v>
      </c>
      <c r="K232" s="14">
        <v>5.9660000000000001E-5</v>
      </c>
    </row>
    <row r="233" spans="1:11" ht="296" customHeight="1" x14ac:dyDescent="0.15">
      <c r="A233" s="9">
        <v>5693</v>
      </c>
      <c r="B233" s="10" t="s">
        <v>696</v>
      </c>
      <c r="C233" s="11" t="s">
        <v>697</v>
      </c>
      <c r="D233" s="11" t="s">
        <v>698</v>
      </c>
      <c r="E233" s="13">
        <v>34</v>
      </c>
      <c r="F233" s="13">
        <v>34</v>
      </c>
      <c r="G233" s="7">
        <f t="shared" si="3"/>
        <v>1</v>
      </c>
      <c r="H233" s="13">
        <v>116</v>
      </c>
      <c r="I233" s="13">
        <v>268</v>
      </c>
      <c r="J233" s="13">
        <v>384</v>
      </c>
      <c r="K233" s="14">
        <v>9.7360000000000003E-5</v>
      </c>
    </row>
    <row r="234" spans="1:11" ht="224" customHeight="1" x14ac:dyDescent="0.15">
      <c r="A234" s="9">
        <v>5214</v>
      </c>
      <c r="B234" s="10" t="s">
        <v>699</v>
      </c>
      <c r="C234" s="11" t="s">
        <v>700</v>
      </c>
      <c r="D234" s="11" t="s">
        <v>701</v>
      </c>
      <c r="E234" s="13">
        <v>120</v>
      </c>
      <c r="F234" s="13">
        <v>120</v>
      </c>
      <c r="G234" s="7">
        <f t="shared" si="3"/>
        <v>1</v>
      </c>
      <c r="H234" s="13">
        <v>92</v>
      </c>
      <c r="I234" s="13">
        <v>258</v>
      </c>
      <c r="J234" s="13">
        <v>350</v>
      </c>
      <c r="K234" s="13">
        <v>1.4924E-4</v>
      </c>
    </row>
    <row r="235" spans="1:11" ht="164" customHeight="1" x14ac:dyDescent="0.15">
      <c r="A235" s="9">
        <v>1859</v>
      </c>
      <c r="B235" s="10" t="s">
        <v>702</v>
      </c>
      <c r="C235" s="11" t="s">
        <v>703</v>
      </c>
      <c r="D235" s="11" t="s">
        <v>704</v>
      </c>
      <c r="E235" s="13">
        <v>2100</v>
      </c>
      <c r="F235" s="13">
        <v>2100</v>
      </c>
      <c r="G235" s="7">
        <f t="shared" si="3"/>
        <v>1</v>
      </c>
      <c r="H235" s="13">
        <v>56</v>
      </c>
      <c r="I235" s="13">
        <v>189</v>
      </c>
      <c r="J235" s="13">
        <v>245</v>
      </c>
      <c r="K235" s="13">
        <v>1.5574999999999999E-4</v>
      </c>
    </row>
    <row r="236" spans="1:11" ht="248" customHeight="1" x14ac:dyDescent="0.15">
      <c r="A236" s="9">
        <v>2802</v>
      </c>
      <c r="B236" s="10" t="s">
        <v>705</v>
      </c>
      <c r="C236" s="11" t="s">
        <v>706</v>
      </c>
      <c r="D236" s="11" t="s">
        <v>707</v>
      </c>
      <c r="E236" s="13">
        <v>112</v>
      </c>
      <c r="F236" s="13">
        <v>112</v>
      </c>
      <c r="G236" s="7">
        <f t="shared" si="3"/>
        <v>1</v>
      </c>
      <c r="H236" s="13">
        <v>66</v>
      </c>
      <c r="I236" s="13">
        <v>286</v>
      </c>
      <c r="J236" s="13">
        <v>352</v>
      </c>
      <c r="K236" s="13">
        <v>1.2331000000000001E-4</v>
      </c>
    </row>
    <row r="237" spans="1:11" ht="200" customHeight="1" x14ac:dyDescent="0.15">
      <c r="A237" s="9">
        <v>6267</v>
      </c>
      <c r="B237" s="10" t="s">
        <v>708</v>
      </c>
      <c r="C237" s="11" t="s">
        <v>709</v>
      </c>
      <c r="D237" s="11" t="s">
        <v>710</v>
      </c>
      <c r="E237" s="13">
        <v>288</v>
      </c>
      <c r="F237" s="13">
        <v>288</v>
      </c>
      <c r="G237" s="7">
        <f t="shared" si="3"/>
        <v>1</v>
      </c>
      <c r="H237" s="13">
        <v>89</v>
      </c>
      <c r="I237" s="13">
        <v>181</v>
      </c>
      <c r="J237" s="13">
        <v>270</v>
      </c>
      <c r="K237" s="13">
        <v>1.0872E-4</v>
      </c>
    </row>
    <row r="238" spans="1:11" ht="308" customHeight="1" x14ac:dyDescent="0.15">
      <c r="A238" s="9">
        <v>3045</v>
      </c>
      <c r="B238" s="10" t="s">
        <v>711</v>
      </c>
      <c r="C238" s="11" t="s">
        <v>712</v>
      </c>
      <c r="D238" s="11" t="s">
        <v>713</v>
      </c>
      <c r="E238" s="13">
        <v>950</v>
      </c>
      <c r="F238" s="13">
        <v>950</v>
      </c>
      <c r="G238" s="7">
        <f t="shared" si="3"/>
        <v>1</v>
      </c>
      <c r="H238" s="13">
        <v>121</v>
      </c>
      <c r="I238" s="13">
        <v>379</v>
      </c>
      <c r="J238" s="13">
        <v>500</v>
      </c>
      <c r="K238" s="13">
        <v>2.1808E-4</v>
      </c>
    </row>
    <row r="239" spans="1:11" ht="212" customHeight="1" x14ac:dyDescent="0.15">
      <c r="A239" s="9">
        <v>2124</v>
      </c>
      <c r="B239" s="10" t="s">
        <v>714</v>
      </c>
      <c r="C239" s="11" t="s">
        <v>715</v>
      </c>
      <c r="D239" s="11" t="s">
        <v>716</v>
      </c>
      <c r="E239" s="12">
        <v>15</v>
      </c>
      <c r="F239" s="13">
        <v>15</v>
      </c>
      <c r="G239" s="7">
        <f t="shared" si="3"/>
        <v>1</v>
      </c>
      <c r="H239" s="13">
        <v>78</v>
      </c>
      <c r="I239" s="13">
        <v>217</v>
      </c>
      <c r="J239" s="13">
        <v>295</v>
      </c>
      <c r="K239" s="14">
        <v>7.7239999999999999E-5</v>
      </c>
    </row>
    <row r="240" spans="1:11" ht="248" customHeight="1" x14ac:dyDescent="0.15">
      <c r="A240" s="9">
        <v>6608</v>
      </c>
      <c r="B240" s="10" t="s">
        <v>717</v>
      </c>
      <c r="C240" s="11" t="s">
        <v>718</v>
      </c>
      <c r="D240" s="11" t="s">
        <v>719</v>
      </c>
      <c r="E240" s="13">
        <v>455000</v>
      </c>
      <c r="F240" s="12">
        <v>455000</v>
      </c>
      <c r="G240" s="7">
        <f t="shared" si="3"/>
        <v>1</v>
      </c>
      <c r="H240" s="13">
        <v>112</v>
      </c>
      <c r="I240" s="13">
        <v>338</v>
      </c>
      <c r="J240" s="13">
        <v>450</v>
      </c>
      <c r="K240" s="13">
        <v>1.1936E-4</v>
      </c>
    </row>
    <row r="241" spans="1:11" ht="200" customHeight="1" x14ac:dyDescent="0.15">
      <c r="A241" s="9">
        <v>1502</v>
      </c>
      <c r="B241" s="10" t="s">
        <v>720</v>
      </c>
      <c r="C241" s="11" t="s">
        <v>721</v>
      </c>
      <c r="D241" s="11" t="s">
        <v>722</v>
      </c>
      <c r="E241" s="13">
        <v>4</v>
      </c>
      <c r="F241" s="13">
        <v>4</v>
      </c>
      <c r="G241" s="7">
        <f t="shared" si="3"/>
        <v>1</v>
      </c>
      <c r="H241" s="13">
        <v>87</v>
      </c>
      <c r="I241" s="13">
        <v>192</v>
      </c>
      <c r="J241" s="13">
        <v>279</v>
      </c>
      <c r="K241" s="14">
        <v>7.0140000000000003E-5</v>
      </c>
    </row>
    <row r="242" spans="1:11" ht="200" customHeight="1" x14ac:dyDescent="0.15">
      <c r="A242" s="9">
        <v>4371</v>
      </c>
      <c r="B242" s="10" t="s">
        <v>723</v>
      </c>
      <c r="C242" s="11" t="s">
        <v>724</v>
      </c>
      <c r="D242" s="11" t="s">
        <v>725</v>
      </c>
      <c r="E242" s="13">
        <v>28</v>
      </c>
      <c r="F242" s="13">
        <v>28</v>
      </c>
      <c r="G242" s="7">
        <f t="shared" si="3"/>
        <v>1</v>
      </c>
      <c r="H242" s="13">
        <v>85</v>
      </c>
      <c r="I242" s="13">
        <v>179</v>
      </c>
      <c r="J242" s="13">
        <v>264</v>
      </c>
      <c r="K242" s="14">
        <v>8.2650000000000003E-5</v>
      </c>
    </row>
    <row r="243" spans="1:11" ht="308" customHeight="1" x14ac:dyDescent="0.15">
      <c r="A243" s="9">
        <v>3574</v>
      </c>
      <c r="B243" s="10" t="s">
        <v>726</v>
      </c>
      <c r="C243" s="11" t="s">
        <v>727</v>
      </c>
      <c r="D243" s="11" t="s">
        <v>728</v>
      </c>
      <c r="E243" s="13">
        <v>72</v>
      </c>
      <c r="F243" s="13">
        <v>72</v>
      </c>
      <c r="G243" s="7">
        <f t="shared" si="3"/>
        <v>1</v>
      </c>
      <c r="H243" s="13">
        <v>103</v>
      </c>
      <c r="I243" s="13">
        <v>354</v>
      </c>
      <c r="J243" s="13">
        <v>457</v>
      </c>
      <c r="K243" s="13">
        <v>2.9125E-4</v>
      </c>
    </row>
    <row r="244" spans="1:11" ht="248" customHeight="1" x14ac:dyDescent="0.15">
      <c r="A244" s="9">
        <v>1952</v>
      </c>
      <c r="B244" s="10" t="s">
        <v>729</v>
      </c>
      <c r="C244" s="11" t="s">
        <v>730</v>
      </c>
      <c r="D244" s="11" t="s">
        <v>731</v>
      </c>
      <c r="E244" s="13">
        <v>12</v>
      </c>
      <c r="F244" s="13">
        <v>12</v>
      </c>
      <c r="G244" s="7">
        <f t="shared" si="3"/>
        <v>1</v>
      </c>
      <c r="H244" s="13">
        <v>90</v>
      </c>
      <c r="I244" s="13">
        <v>270</v>
      </c>
      <c r="J244" s="13">
        <v>360</v>
      </c>
      <c r="K244" s="16">
        <v>9.5400000000000001E-5</v>
      </c>
    </row>
    <row r="245" spans="1:11" ht="44" customHeight="1" x14ac:dyDescent="0.15">
      <c r="A245" s="9">
        <v>1565</v>
      </c>
      <c r="B245" s="10" t="s">
        <v>732</v>
      </c>
      <c r="C245" s="11" t="s">
        <v>733</v>
      </c>
      <c r="D245" s="11" t="s">
        <v>734</v>
      </c>
      <c r="E245" s="13">
        <v>13</v>
      </c>
      <c r="F245" s="13">
        <v>13</v>
      </c>
      <c r="G245" s="7">
        <f t="shared" si="3"/>
        <v>1</v>
      </c>
      <c r="H245" s="13">
        <v>106</v>
      </c>
      <c r="I245" s="13">
        <v>4</v>
      </c>
      <c r="J245" s="13">
        <v>110</v>
      </c>
      <c r="K245" s="16">
        <v>6.5699999999999998E-5</v>
      </c>
    </row>
    <row r="246" spans="1:11" ht="260" customHeight="1" x14ac:dyDescent="0.15">
      <c r="A246" s="9">
        <v>1840</v>
      </c>
      <c r="B246" s="10" t="s">
        <v>735</v>
      </c>
      <c r="C246" s="11" t="s">
        <v>736</v>
      </c>
      <c r="D246" s="11" t="s">
        <v>737</v>
      </c>
      <c r="E246" s="13">
        <v>4</v>
      </c>
      <c r="F246" s="13">
        <v>4</v>
      </c>
      <c r="G246" s="7">
        <f t="shared" si="3"/>
        <v>1</v>
      </c>
      <c r="H246" s="13">
        <v>67</v>
      </c>
      <c r="I246" s="13">
        <v>246</v>
      </c>
      <c r="J246" s="13">
        <v>313</v>
      </c>
      <c r="K246" s="13">
        <v>1.3773999999999999E-4</v>
      </c>
    </row>
    <row r="247" spans="1:11" ht="200" customHeight="1" x14ac:dyDescent="0.15">
      <c r="A247" s="9">
        <v>3153</v>
      </c>
      <c r="B247" s="10" t="s">
        <v>738</v>
      </c>
      <c r="C247" s="11" t="s">
        <v>739</v>
      </c>
      <c r="D247" s="11" t="s">
        <v>740</v>
      </c>
      <c r="E247" s="13">
        <v>60</v>
      </c>
      <c r="F247" s="13">
        <v>60</v>
      </c>
      <c r="G247" s="7">
        <f t="shared" si="3"/>
        <v>1</v>
      </c>
      <c r="H247" s="13">
        <v>65</v>
      </c>
      <c r="I247" s="13">
        <v>211</v>
      </c>
      <c r="J247" s="13">
        <v>276</v>
      </c>
      <c r="K247" s="15">
        <v>9.3175000000000002E-5</v>
      </c>
    </row>
    <row r="248" spans="1:11" ht="224" customHeight="1" x14ac:dyDescent="0.15">
      <c r="A248" s="9">
        <v>6138</v>
      </c>
      <c r="B248" s="10" t="s">
        <v>741</v>
      </c>
      <c r="C248" s="11" t="s">
        <v>742</v>
      </c>
      <c r="D248" s="11" t="s">
        <v>743</v>
      </c>
      <c r="E248" s="13">
        <v>30</v>
      </c>
      <c r="F248" s="13">
        <v>30</v>
      </c>
      <c r="G248" s="7">
        <f t="shared" si="3"/>
        <v>1</v>
      </c>
      <c r="H248" s="13">
        <v>102</v>
      </c>
      <c r="I248" s="13">
        <v>240</v>
      </c>
      <c r="J248" s="13">
        <v>342</v>
      </c>
      <c r="K248" s="13">
        <v>1.0977E-4</v>
      </c>
    </row>
    <row r="249" spans="1:11" ht="164" customHeight="1" x14ac:dyDescent="0.15">
      <c r="A249" s="9">
        <v>5888</v>
      </c>
      <c r="B249" s="10" t="s">
        <v>744</v>
      </c>
      <c r="C249" s="11" t="s">
        <v>745</v>
      </c>
      <c r="D249" s="11" t="s">
        <v>746</v>
      </c>
      <c r="E249" s="13">
        <v>920</v>
      </c>
      <c r="F249" s="13">
        <v>920</v>
      </c>
      <c r="G249" s="7">
        <f t="shared" si="3"/>
        <v>1</v>
      </c>
      <c r="H249" s="13">
        <v>74</v>
      </c>
      <c r="I249" s="13">
        <v>147</v>
      </c>
      <c r="J249" s="13">
        <v>221</v>
      </c>
      <c r="K249" s="14">
        <v>5.4440000000000001E-5</v>
      </c>
    </row>
    <row r="250" spans="1:11" ht="152" customHeight="1" x14ac:dyDescent="0.15">
      <c r="A250" s="9">
        <v>5006</v>
      </c>
      <c r="B250" s="10" t="s">
        <v>747</v>
      </c>
      <c r="C250" s="11" t="s">
        <v>748</v>
      </c>
      <c r="D250" s="11" t="s">
        <v>749</v>
      </c>
      <c r="E250" s="12">
        <v>3</v>
      </c>
      <c r="F250" s="13">
        <v>3</v>
      </c>
      <c r="G250" s="7">
        <f t="shared" si="3"/>
        <v>1</v>
      </c>
      <c r="H250" s="13">
        <v>57</v>
      </c>
      <c r="I250" s="13">
        <v>156</v>
      </c>
      <c r="J250" s="13">
        <v>213</v>
      </c>
      <c r="K250" s="14">
        <v>5.5619999999999999E-5</v>
      </c>
    </row>
    <row r="251" spans="1:11" ht="224" customHeight="1" x14ac:dyDescent="0.15">
      <c r="A251" s="9">
        <v>3142</v>
      </c>
      <c r="B251" s="10" t="s">
        <v>750</v>
      </c>
      <c r="C251" s="11" t="s">
        <v>751</v>
      </c>
      <c r="D251" s="11" t="s">
        <v>752</v>
      </c>
      <c r="E251" s="13">
        <v>4000</v>
      </c>
      <c r="F251" s="13">
        <v>4000</v>
      </c>
      <c r="G251" s="7">
        <f t="shared" si="3"/>
        <v>1</v>
      </c>
      <c r="H251" s="13">
        <v>100</v>
      </c>
      <c r="I251" s="13">
        <v>251</v>
      </c>
      <c r="J251" s="13">
        <v>351</v>
      </c>
      <c r="K251" s="13">
        <v>2.5729000000000003E-4</v>
      </c>
    </row>
    <row r="252" spans="1:11" ht="308" customHeight="1" x14ac:dyDescent="0.15">
      <c r="A252" s="9">
        <v>1412</v>
      </c>
      <c r="B252" s="10" t="s">
        <v>753</v>
      </c>
      <c r="C252" s="11" t="s">
        <v>754</v>
      </c>
      <c r="D252" s="11" t="s">
        <v>755</v>
      </c>
      <c r="E252" s="13">
        <v>294</v>
      </c>
      <c r="F252" s="13">
        <v>294</v>
      </c>
      <c r="G252" s="7">
        <f t="shared" si="3"/>
        <v>1</v>
      </c>
      <c r="H252" s="13">
        <v>111</v>
      </c>
      <c r="I252" s="13">
        <v>353</v>
      </c>
      <c r="J252" s="13">
        <v>464</v>
      </c>
      <c r="K252" s="13">
        <v>1.2406E-4</v>
      </c>
    </row>
    <row r="253" spans="1:11" ht="236" customHeight="1" x14ac:dyDescent="0.15">
      <c r="A253" s="9">
        <v>2318</v>
      </c>
      <c r="B253" s="10" t="s">
        <v>756</v>
      </c>
      <c r="C253" s="11" t="s">
        <v>757</v>
      </c>
      <c r="D253" s="11" t="s">
        <v>758</v>
      </c>
      <c r="E253" s="13">
        <v>4</v>
      </c>
      <c r="F253" s="13">
        <v>4</v>
      </c>
      <c r="G253" s="7">
        <f t="shared" si="3"/>
        <v>1</v>
      </c>
      <c r="H253" s="13">
        <v>102</v>
      </c>
      <c r="I253" s="13">
        <v>273</v>
      </c>
      <c r="J253" s="13">
        <v>375</v>
      </c>
      <c r="K253" s="14">
        <v>9.7559999999999994E-5</v>
      </c>
    </row>
    <row r="254" spans="1:11" ht="164" customHeight="1" x14ac:dyDescent="0.15">
      <c r="A254" s="9">
        <v>1302</v>
      </c>
      <c r="B254" s="10" t="s">
        <v>759</v>
      </c>
      <c r="C254" s="11" t="s">
        <v>760</v>
      </c>
      <c r="D254" s="11" t="s">
        <v>761</v>
      </c>
      <c r="E254" s="13">
        <v>320</v>
      </c>
      <c r="F254" s="13">
        <v>320</v>
      </c>
      <c r="G254" s="7">
        <f t="shared" si="3"/>
        <v>1</v>
      </c>
      <c r="H254" s="13">
        <v>71</v>
      </c>
      <c r="I254" s="13">
        <v>163</v>
      </c>
      <c r="J254" s="13">
        <v>234</v>
      </c>
      <c r="K254" s="14">
        <v>9.7120000000000005E-5</v>
      </c>
    </row>
    <row r="255" spans="1:11" ht="128" customHeight="1" x14ac:dyDescent="0.15">
      <c r="A255" s="9">
        <v>2818</v>
      </c>
      <c r="B255" s="10" t="s">
        <v>762</v>
      </c>
      <c r="C255" s="11" t="s">
        <v>763</v>
      </c>
      <c r="D255" s="11" t="s">
        <v>764</v>
      </c>
      <c r="E255" s="13">
        <v>275</v>
      </c>
      <c r="F255" s="13">
        <v>275</v>
      </c>
      <c r="G255" s="7">
        <f t="shared" si="3"/>
        <v>1</v>
      </c>
      <c r="H255" s="13">
        <v>88</v>
      </c>
      <c r="I255" s="13">
        <v>110</v>
      </c>
      <c r="J255" s="13">
        <v>198</v>
      </c>
      <c r="K255" s="17">
        <v>4.3999999999999999E-5</v>
      </c>
    </row>
    <row r="256" spans="1:11" ht="116" customHeight="1" x14ac:dyDescent="0.15">
      <c r="A256" s="9">
        <v>2441</v>
      </c>
      <c r="B256" s="10" t="s">
        <v>765</v>
      </c>
      <c r="C256" s="11" t="s">
        <v>766</v>
      </c>
      <c r="D256" s="11" t="s">
        <v>767</v>
      </c>
      <c r="E256" s="13">
        <v>5</v>
      </c>
      <c r="F256" s="13">
        <v>5</v>
      </c>
      <c r="G256" s="7">
        <f t="shared" si="3"/>
        <v>1</v>
      </c>
      <c r="H256" s="13">
        <v>82</v>
      </c>
      <c r="I256" s="13">
        <v>127</v>
      </c>
      <c r="J256" s="13">
        <v>209</v>
      </c>
      <c r="K256" s="14">
        <v>8.0840000000000005E-5</v>
      </c>
    </row>
    <row r="257" spans="1:11" ht="56" customHeight="1" x14ac:dyDescent="0.15">
      <c r="A257" s="9">
        <v>4340</v>
      </c>
      <c r="B257" s="10" t="s">
        <v>768</v>
      </c>
      <c r="C257" s="11" t="s">
        <v>769</v>
      </c>
      <c r="D257" s="11" t="s">
        <v>770</v>
      </c>
      <c r="E257" s="12"/>
      <c r="F257" s="13">
        <v>300</v>
      </c>
      <c r="G257" s="7">
        <f t="shared" si="3"/>
        <v>0</v>
      </c>
      <c r="H257" s="13">
        <v>90</v>
      </c>
      <c r="I257" s="13">
        <v>6</v>
      </c>
      <c r="J257" s="13">
        <v>96</v>
      </c>
      <c r="K257" s="14">
        <v>1.9519999999999999E-5</v>
      </c>
    </row>
    <row r="258" spans="1:11" ht="128" customHeight="1" x14ac:dyDescent="0.15">
      <c r="A258" s="9">
        <v>5812</v>
      </c>
      <c r="B258" s="10" t="s">
        <v>771</v>
      </c>
      <c r="C258" s="11" t="s">
        <v>772</v>
      </c>
      <c r="D258" s="11" t="s">
        <v>773</v>
      </c>
      <c r="E258" s="13">
        <v>4</v>
      </c>
      <c r="F258" s="13">
        <v>4</v>
      </c>
      <c r="G258" s="7">
        <f t="shared" si="3"/>
        <v>1</v>
      </c>
      <c r="H258" s="13">
        <v>78</v>
      </c>
      <c r="I258" s="13">
        <v>146</v>
      </c>
      <c r="J258" s="13">
        <v>224</v>
      </c>
      <c r="K258" s="13">
        <v>1.6135999999999999E-4</v>
      </c>
    </row>
    <row r="259" spans="1:11" ht="56" customHeight="1" x14ac:dyDescent="0.15">
      <c r="A259" s="9">
        <v>4836</v>
      </c>
      <c r="B259" s="10" t="s">
        <v>774</v>
      </c>
      <c r="C259" s="11" t="s">
        <v>775</v>
      </c>
      <c r="D259" s="11" t="s">
        <v>776</v>
      </c>
      <c r="E259" s="12"/>
      <c r="F259" s="13">
        <v>3600</v>
      </c>
      <c r="G259" s="7">
        <f t="shared" si="3"/>
        <v>0</v>
      </c>
      <c r="H259" s="13">
        <v>86</v>
      </c>
      <c r="I259" s="13">
        <v>7</v>
      </c>
      <c r="J259" s="13">
        <v>93</v>
      </c>
      <c r="K259" s="14">
        <v>1.084E-5</v>
      </c>
    </row>
    <row r="260" spans="1:11" ht="116" customHeight="1" x14ac:dyDescent="0.15">
      <c r="A260" s="9">
        <v>5874</v>
      </c>
      <c r="B260" s="10" t="s">
        <v>777</v>
      </c>
      <c r="C260" s="11" t="s">
        <v>778</v>
      </c>
      <c r="D260" s="11" t="s">
        <v>779</v>
      </c>
      <c r="E260" s="13">
        <v>48</v>
      </c>
      <c r="F260" s="13">
        <v>48</v>
      </c>
      <c r="G260" s="7">
        <f t="shared" ref="G260:G323" si="4">IF(OR(ISBLANK(E260), ISBLANK(F260)), 0, IF(E260=F260, 1, 0))</f>
        <v>1</v>
      </c>
      <c r="H260" s="13">
        <v>67</v>
      </c>
      <c r="I260" s="13">
        <v>121</v>
      </c>
      <c r="J260" s="13">
        <v>188</v>
      </c>
      <c r="K260" s="14">
        <v>4.5420000000000002E-5</v>
      </c>
    </row>
    <row r="261" spans="1:11" ht="164" customHeight="1" x14ac:dyDescent="0.15">
      <c r="A261" s="9">
        <v>5509</v>
      </c>
      <c r="B261" s="10" t="s">
        <v>780</v>
      </c>
      <c r="C261" s="11" t="s">
        <v>781</v>
      </c>
      <c r="D261" s="11" t="s">
        <v>782</v>
      </c>
      <c r="E261" s="12"/>
      <c r="F261" s="13">
        <v>36</v>
      </c>
      <c r="G261" s="7">
        <f t="shared" si="4"/>
        <v>0</v>
      </c>
      <c r="H261" s="13">
        <v>64</v>
      </c>
      <c r="I261" s="13">
        <v>171</v>
      </c>
      <c r="J261" s="13">
        <v>235</v>
      </c>
      <c r="K261" s="14">
        <v>6.1119999999999998E-5</v>
      </c>
    </row>
    <row r="262" spans="1:11" ht="140" customHeight="1" x14ac:dyDescent="0.15">
      <c r="A262" s="9">
        <v>4411</v>
      </c>
      <c r="B262" s="10" t="s">
        <v>783</v>
      </c>
      <c r="C262" s="11" t="s">
        <v>784</v>
      </c>
      <c r="D262" s="11" t="s">
        <v>785</v>
      </c>
      <c r="E262" s="12"/>
      <c r="F262" s="13">
        <v>40</v>
      </c>
      <c r="G262" s="7">
        <f t="shared" si="4"/>
        <v>0</v>
      </c>
      <c r="H262" s="13">
        <v>60</v>
      </c>
      <c r="I262" s="13">
        <v>183</v>
      </c>
      <c r="J262" s="13">
        <v>243</v>
      </c>
      <c r="K262" s="14">
        <v>6.4560000000000005E-5</v>
      </c>
    </row>
    <row r="263" spans="1:11" ht="188" customHeight="1" x14ac:dyDescent="0.15">
      <c r="A263" s="9">
        <v>1922</v>
      </c>
      <c r="B263" s="10" t="s">
        <v>786</v>
      </c>
      <c r="C263" s="11" t="s">
        <v>787</v>
      </c>
      <c r="D263" s="11" t="s">
        <v>788</v>
      </c>
      <c r="E263" s="12"/>
      <c r="F263" s="13">
        <v>24</v>
      </c>
      <c r="G263" s="7">
        <f t="shared" si="4"/>
        <v>0</v>
      </c>
      <c r="H263" s="13">
        <v>82</v>
      </c>
      <c r="I263" s="13">
        <v>190</v>
      </c>
      <c r="J263" s="13">
        <v>272</v>
      </c>
      <c r="K263" s="17">
        <v>6.8999999999999997E-5</v>
      </c>
    </row>
    <row r="264" spans="1:11" ht="56" customHeight="1" x14ac:dyDescent="0.15">
      <c r="A264" s="9">
        <v>6375</v>
      </c>
      <c r="B264" s="10" t="s">
        <v>789</v>
      </c>
      <c r="C264" s="11" t="s">
        <v>790</v>
      </c>
      <c r="D264" s="11" t="s">
        <v>791</v>
      </c>
      <c r="E264" s="13">
        <v>14</v>
      </c>
      <c r="F264" s="13">
        <v>14</v>
      </c>
      <c r="G264" s="7">
        <f t="shared" si="4"/>
        <v>1</v>
      </c>
      <c r="H264" s="13">
        <v>87</v>
      </c>
      <c r="I264" s="13">
        <v>40</v>
      </c>
      <c r="J264" s="13">
        <v>127</v>
      </c>
      <c r="K264" s="16">
        <v>2.1500000000000001E-5</v>
      </c>
    </row>
    <row r="265" spans="1:11" ht="140" customHeight="1" x14ac:dyDescent="0.15">
      <c r="A265" s="9">
        <v>4128</v>
      </c>
      <c r="B265" s="10" t="s">
        <v>792</v>
      </c>
      <c r="C265" s="11" t="s">
        <v>793</v>
      </c>
      <c r="D265" s="11" t="s">
        <v>794</v>
      </c>
      <c r="E265" s="12"/>
      <c r="F265" s="13">
        <v>7</v>
      </c>
      <c r="G265" s="7">
        <f t="shared" si="4"/>
        <v>0</v>
      </c>
      <c r="H265" s="13">
        <v>128</v>
      </c>
      <c r="I265" s="13">
        <v>140</v>
      </c>
      <c r="J265" s="13">
        <v>268</v>
      </c>
      <c r="K265" s="14">
        <v>9.8159999999999995E-5</v>
      </c>
    </row>
    <row r="266" spans="1:11" ht="296" customHeight="1" x14ac:dyDescent="0.15">
      <c r="A266" s="9">
        <v>6951</v>
      </c>
      <c r="B266" s="10" t="s">
        <v>795</v>
      </c>
      <c r="C266" s="11" t="s">
        <v>796</v>
      </c>
      <c r="D266" s="11" t="s">
        <v>797</v>
      </c>
      <c r="E266" s="13">
        <v>55000</v>
      </c>
      <c r="F266" s="12">
        <v>55000</v>
      </c>
      <c r="G266" s="7">
        <f t="shared" si="4"/>
        <v>1</v>
      </c>
      <c r="H266" s="13">
        <v>125</v>
      </c>
      <c r="I266" s="13">
        <v>330</v>
      </c>
      <c r="J266" s="13">
        <v>455</v>
      </c>
      <c r="K266" s="13">
        <v>1.48875E-4</v>
      </c>
    </row>
    <row r="267" spans="1:11" ht="44" customHeight="1" x14ac:dyDescent="0.15">
      <c r="A267" s="9">
        <v>5465</v>
      </c>
      <c r="B267" s="10" t="s">
        <v>798</v>
      </c>
      <c r="C267" s="11" t="s">
        <v>799</v>
      </c>
      <c r="D267" s="11" t="s">
        <v>800</v>
      </c>
      <c r="E267" s="13">
        <v>680</v>
      </c>
      <c r="F267" s="13">
        <v>680</v>
      </c>
      <c r="G267" s="7">
        <f t="shared" si="4"/>
        <v>1</v>
      </c>
      <c r="H267" s="13">
        <v>67</v>
      </c>
      <c r="I267" s="13">
        <v>4</v>
      </c>
      <c r="J267" s="13">
        <v>71</v>
      </c>
      <c r="K267" s="16">
        <v>7.9799999999999998E-6</v>
      </c>
    </row>
    <row r="268" spans="1:11" ht="176" customHeight="1" x14ac:dyDescent="0.15">
      <c r="A268" s="9">
        <v>3149</v>
      </c>
      <c r="B268" s="10" t="s">
        <v>801</v>
      </c>
      <c r="C268" s="11" t="s">
        <v>802</v>
      </c>
      <c r="D268" s="11" t="s">
        <v>803</v>
      </c>
      <c r="E268" s="13">
        <v>10</v>
      </c>
      <c r="F268" s="13">
        <v>10</v>
      </c>
      <c r="G268" s="7">
        <f t="shared" si="4"/>
        <v>1</v>
      </c>
      <c r="H268" s="13">
        <v>59</v>
      </c>
      <c r="I268" s="13">
        <v>189</v>
      </c>
      <c r="J268" s="13">
        <v>248</v>
      </c>
      <c r="K268" s="13">
        <v>1.5650000000000001E-4</v>
      </c>
    </row>
    <row r="269" spans="1:11" ht="164" customHeight="1" x14ac:dyDescent="0.15">
      <c r="A269" s="9">
        <v>5624</v>
      </c>
      <c r="B269" s="10" t="s">
        <v>804</v>
      </c>
      <c r="C269" s="11" t="s">
        <v>805</v>
      </c>
      <c r="D269" s="11" t="s">
        <v>806</v>
      </c>
      <c r="E269" s="13">
        <v>23</v>
      </c>
      <c r="F269" s="13">
        <v>23</v>
      </c>
      <c r="G269" s="7">
        <f t="shared" si="4"/>
        <v>1</v>
      </c>
      <c r="H269" s="13">
        <v>70</v>
      </c>
      <c r="I269" s="13">
        <v>134</v>
      </c>
      <c r="J269" s="13">
        <v>204</v>
      </c>
      <c r="K269" s="14">
        <v>6.3050000000000001E-5</v>
      </c>
    </row>
    <row r="270" spans="1:11" ht="284" customHeight="1" x14ac:dyDescent="0.15">
      <c r="A270" s="9">
        <v>858</v>
      </c>
      <c r="B270" s="10" t="s">
        <v>807</v>
      </c>
      <c r="C270" s="11" t="s">
        <v>808</v>
      </c>
      <c r="D270" s="11" t="s">
        <v>809</v>
      </c>
      <c r="E270" s="13">
        <v>7</v>
      </c>
      <c r="F270" s="13">
        <v>7</v>
      </c>
      <c r="G270" s="7">
        <f t="shared" si="4"/>
        <v>1</v>
      </c>
      <c r="H270" s="13">
        <v>110</v>
      </c>
      <c r="I270" s="13">
        <v>313</v>
      </c>
      <c r="J270" s="13">
        <v>423</v>
      </c>
      <c r="K270" s="13">
        <v>1.4004999999999999E-4</v>
      </c>
    </row>
    <row r="271" spans="1:11" ht="44" customHeight="1" x14ac:dyDescent="0.15">
      <c r="A271" s="9">
        <v>6096</v>
      </c>
      <c r="B271" s="10" t="s">
        <v>810</v>
      </c>
      <c r="C271" s="11" t="s">
        <v>811</v>
      </c>
      <c r="D271" s="11" t="s">
        <v>812</v>
      </c>
      <c r="E271" s="12">
        <v>12</v>
      </c>
      <c r="F271" s="13">
        <v>12</v>
      </c>
      <c r="G271" s="7">
        <f t="shared" si="4"/>
        <v>1</v>
      </c>
      <c r="H271" s="13">
        <v>66</v>
      </c>
      <c r="I271" s="13">
        <v>4</v>
      </c>
      <c r="J271" s="13">
        <v>70</v>
      </c>
      <c r="K271" s="16">
        <v>1.95E-5</v>
      </c>
    </row>
    <row r="272" spans="1:11" ht="260" customHeight="1" x14ac:dyDescent="0.15">
      <c r="A272" s="9">
        <v>7368</v>
      </c>
      <c r="B272" s="10" t="s">
        <v>813</v>
      </c>
      <c r="C272" s="11" t="s">
        <v>814</v>
      </c>
      <c r="D272" s="11" t="s">
        <v>815</v>
      </c>
      <c r="E272" s="13">
        <v>48</v>
      </c>
      <c r="F272" s="13">
        <v>48</v>
      </c>
      <c r="G272" s="7">
        <f t="shared" si="4"/>
        <v>1</v>
      </c>
      <c r="H272" s="13">
        <v>45</v>
      </c>
      <c r="I272" s="13">
        <v>221</v>
      </c>
      <c r="J272" s="13">
        <v>266</v>
      </c>
      <c r="K272" s="14">
        <v>9.4250000000000001E-5</v>
      </c>
    </row>
    <row r="273" spans="1:11" ht="224" customHeight="1" x14ac:dyDescent="0.15">
      <c r="A273" s="9">
        <v>6156</v>
      </c>
      <c r="B273" s="10" t="s">
        <v>816</v>
      </c>
      <c r="C273" s="11" t="s">
        <v>817</v>
      </c>
      <c r="D273" s="11" t="s">
        <v>818</v>
      </c>
      <c r="E273" s="13">
        <v>85</v>
      </c>
      <c r="F273" s="13">
        <v>85</v>
      </c>
      <c r="G273" s="7">
        <f t="shared" si="4"/>
        <v>1</v>
      </c>
      <c r="H273" s="13">
        <v>60</v>
      </c>
      <c r="I273" s="13">
        <v>219</v>
      </c>
      <c r="J273" s="13">
        <v>279</v>
      </c>
      <c r="K273" s="14">
        <v>7.6080000000000003E-5</v>
      </c>
    </row>
    <row r="274" spans="1:11" ht="140" customHeight="1" x14ac:dyDescent="0.15">
      <c r="A274" s="9">
        <v>6867</v>
      </c>
      <c r="B274" s="10" t="s">
        <v>819</v>
      </c>
      <c r="C274" s="11" t="s">
        <v>820</v>
      </c>
      <c r="D274" s="11" t="s">
        <v>821</v>
      </c>
      <c r="E274" s="13">
        <v>71</v>
      </c>
      <c r="F274" s="13">
        <v>71</v>
      </c>
      <c r="G274" s="7">
        <f t="shared" si="4"/>
        <v>1</v>
      </c>
      <c r="H274" s="13">
        <v>77</v>
      </c>
      <c r="I274" s="13">
        <v>133</v>
      </c>
      <c r="J274" s="13">
        <v>210</v>
      </c>
      <c r="K274" s="15">
        <v>6.3595000000000004E-5</v>
      </c>
    </row>
    <row r="275" spans="1:11" ht="56" customHeight="1" x14ac:dyDescent="0.15">
      <c r="A275" s="9">
        <v>2227</v>
      </c>
      <c r="B275" s="10" t="s">
        <v>822</v>
      </c>
      <c r="C275" s="11" t="s">
        <v>823</v>
      </c>
      <c r="D275" s="11" t="s">
        <v>824</v>
      </c>
      <c r="E275" s="13">
        <v>19</v>
      </c>
      <c r="F275" s="13">
        <v>19</v>
      </c>
      <c r="G275" s="7">
        <f t="shared" si="4"/>
        <v>1</v>
      </c>
      <c r="H275" s="13">
        <v>73</v>
      </c>
      <c r="I275" s="13">
        <v>69</v>
      </c>
      <c r="J275" s="13">
        <v>142</v>
      </c>
      <c r="K275" s="13">
        <v>1.4768E-4</v>
      </c>
    </row>
    <row r="276" spans="1:11" ht="104" customHeight="1" x14ac:dyDescent="0.15">
      <c r="A276" s="9">
        <v>41</v>
      </c>
      <c r="B276" s="10" t="s">
        <v>825</v>
      </c>
      <c r="C276" s="11" t="s">
        <v>826</v>
      </c>
      <c r="D276" s="11" t="s">
        <v>827</v>
      </c>
      <c r="E276" s="13">
        <v>500</v>
      </c>
      <c r="F276" s="13">
        <v>500</v>
      </c>
      <c r="G276" s="7">
        <f t="shared" si="4"/>
        <v>1</v>
      </c>
      <c r="H276" s="13">
        <v>93</v>
      </c>
      <c r="I276" s="13">
        <v>95</v>
      </c>
      <c r="J276" s="13">
        <v>188</v>
      </c>
      <c r="K276" s="15">
        <v>5.0555E-5</v>
      </c>
    </row>
    <row r="277" spans="1:11" ht="140" customHeight="1" x14ac:dyDescent="0.15">
      <c r="A277" s="9">
        <v>2178</v>
      </c>
      <c r="B277" s="10" t="s">
        <v>828</v>
      </c>
      <c r="C277" s="11" t="s">
        <v>829</v>
      </c>
      <c r="D277" s="11" t="s">
        <v>830</v>
      </c>
      <c r="E277" s="13">
        <v>60</v>
      </c>
      <c r="F277" s="13">
        <v>60</v>
      </c>
      <c r="G277" s="7">
        <f t="shared" si="4"/>
        <v>1</v>
      </c>
      <c r="H277" s="13">
        <v>88</v>
      </c>
      <c r="I277" s="13">
        <v>192</v>
      </c>
      <c r="J277" s="13">
        <v>280</v>
      </c>
      <c r="K277" s="14">
        <v>7.0240000000000005E-5</v>
      </c>
    </row>
    <row r="278" spans="1:11" ht="116" customHeight="1" x14ac:dyDescent="0.15">
      <c r="A278" s="9">
        <v>1741</v>
      </c>
      <c r="B278" s="10" t="s">
        <v>831</v>
      </c>
      <c r="C278" s="11" t="s">
        <v>832</v>
      </c>
      <c r="D278" s="11" t="s">
        <v>833</v>
      </c>
      <c r="E278" s="13">
        <v>1350</v>
      </c>
      <c r="F278" s="13">
        <v>1350</v>
      </c>
      <c r="G278" s="7">
        <f t="shared" si="4"/>
        <v>1</v>
      </c>
      <c r="H278" s="13">
        <v>67</v>
      </c>
      <c r="I278" s="13">
        <v>117</v>
      </c>
      <c r="J278" s="13">
        <v>184</v>
      </c>
      <c r="K278" s="13">
        <v>1.3545000000000001E-4</v>
      </c>
    </row>
    <row r="279" spans="1:11" ht="140" customHeight="1" x14ac:dyDescent="0.15">
      <c r="A279" s="9">
        <v>4989</v>
      </c>
      <c r="B279" s="10" t="s">
        <v>834</v>
      </c>
      <c r="C279" s="11" t="s">
        <v>835</v>
      </c>
      <c r="D279" s="11" t="s">
        <v>836</v>
      </c>
      <c r="E279" s="13">
        <v>15</v>
      </c>
      <c r="F279" s="13">
        <v>15</v>
      </c>
      <c r="G279" s="7">
        <f t="shared" si="4"/>
        <v>1</v>
      </c>
      <c r="H279" s="13">
        <v>73</v>
      </c>
      <c r="I279" s="13">
        <v>153</v>
      </c>
      <c r="J279" s="13">
        <v>226</v>
      </c>
      <c r="K279" s="14">
        <v>7.0690000000000003E-5</v>
      </c>
    </row>
    <row r="280" spans="1:11" ht="224" customHeight="1" x14ac:dyDescent="0.15">
      <c r="A280" s="9">
        <v>1618</v>
      </c>
      <c r="B280" s="10" t="s">
        <v>837</v>
      </c>
      <c r="C280" s="11" t="s">
        <v>838</v>
      </c>
      <c r="D280" s="11" t="s">
        <v>839</v>
      </c>
      <c r="E280" s="13">
        <v>60</v>
      </c>
      <c r="F280" s="13">
        <v>60</v>
      </c>
      <c r="G280" s="7">
        <f t="shared" si="4"/>
        <v>1</v>
      </c>
      <c r="H280" s="13">
        <v>131</v>
      </c>
      <c r="I280" s="13">
        <v>253</v>
      </c>
      <c r="J280" s="13">
        <v>384</v>
      </c>
      <c r="K280" s="13">
        <v>1.5532E-4</v>
      </c>
    </row>
    <row r="281" spans="1:11" ht="176" customHeight="1" x14ac:dyDescent="0.15">
      <c r="A281" s="9">
        <v>2405</v>
      </c>
      <c r="B281" s="10" t="s">
        <v>840</v>
      </c>
      <c r="C281" s="11" t="s">
        <v>841</v>
      </c>
      <c r="D281" s="11" t="s">
        <v>842</v>
      </c>
      <c r="E281" s="13">
        <v>19</v>
      </c>
      <c r="F281" s="13">
        <v>19</v>
      </c>
      <c r="G281" s="7">
        <f t="shared" si="4"/>
        <v>1</v>
      </c>
      <c r="H281" s="13">
        <v>59</v>
      </c>
      <c r="I281" s="13">
        <v>194</v>
      </c>
      <c r="J281" s="13">
        <v>253</v>
      </c>
      <c r="K281" s="15">
        <v>8.5564999999999998E-5</v>
      </c>
    </row>
    <row r="282" spans="1:11" ht="128" customHeight="1" x14ac:dyDescent="0.15">
      <c r="A282" s="9">
        <v>185</v>
      </c>
      <c r="B282" s="10" t="s">
        <v>843</v>
      </c>
      <c r="C282" s="11" t="s">
        <v>844</v>
      </c>
      <c r="D282" s="11" t="s">
        <v>845</v>
      </c>
      <c r="E282" s="13">
        <v>4</v>
      </c>
      <c r="F282" s="13">
        <v>4</v>
      </c>
      <c r="G282" s="7">
        <f t="shared" si="4"/>
        <v>1</v>
      </c>
      <c r="H282" s="13">
        <v>69</v>
      </c>
      <c r="I282" s="13">
        <v>113</v>
      </c>
      <c r="J282" s="13">
        <v>182</v>
      </c>
      <c r="K282" s="13">
        <v>1.02E-4</v>
      </c>
    </row>
    <row r="283" spans="1:11" ht="188" customHeight="1" x14ac:dyDescent="0.15">
      <c r="A283" s="9">
        <v>7120</v>
      </c>
      <c r="B283" s="10" t="s">
        <v>846</v>
      </c>
      <c r="C283" s="11" t="s">
        <v>847</v>
      </c>
      <c r="D283" s="11" t="s">
        <v>848</v>
      </c>
      <c r="E283" s="13">
        <v>2400</v>
      </c>
      <c r="F283" s="13">
        <v>2400</v>
      </c>
      <c r="G283" s="7">
        <f t="shared" si="4"/>
        <v>1</v>
      </c>
      <c r="H283" s="13">
        <v>85</v>
      </c>
      <c r="I283" s="13">
        <v>239</v>
      </c>
      <c r="J283" s="13">
        <v>324</v>
      </c>
      <c r="K283" s="13">
        <v>1.0665E-4</v>
      </c>
    </row>
    <row r="284" spans="1:11" ht="188" customHeight="1" x14ac:dyDescent="0.15">
      <c r="A284" s="9">
        <v>5828</v>
      </c>
      <c r="B284" s="10" t="s">
        <v>849</v>
      </c>
      <c r="C284" s="11" t="s">
        <v>850</v>
      </c>
      <c r="D284" s="11" t="s">
        <v>851</v>
      </c>
      <c r="E284" s="13">
        <v>94</v>
      </c>
      <c r="F284" s="13">
        <v>94</v>
      </c>
      <c r="G284" s="7">
        <f t="shared" si="4"/>
        <v>1</v>
      </c>
      <c r="H284" s="13">
        <v>123</v>
      </c>
      <c r="I284" s="13">
        <v>174</v>
      </c>
      <c r="J284" s="13">
        <v>297</v>
      </c>
      <c r="K284" s="14">
        <v>6.7979999999999996E-5</v>
      </c>
    </row>
    <row r="285" spans="1:11" ht="176" customHeight="1" x14ac:dyDescent="0.15">
      <c r="A285" s="9">
        <v>3661</v>
      </c>
      <c r="B285" s="10" t="s">
        <v>852</v>
      </c>
      <c r="C285" s="11" t="s">
        <v>853</v>
      </c>
      <c r="D285" s="11" t="s">
        <v>854</v>
      </c>
      <c r="E285" s="13">
        <v>53</v>
      </c>
      <c r="F285" s="13">
        <v>53</v>
      </c>
      <c r="G285" s="7">
        <f t="shared" si="4"/>
        <v>1</v>
      </c>
      <c r="H285" s="13">
        <v>98</v>
      </c>
      <c r="I285" s="13">
        <v>171</v>
      </c>
      <c r="J285" s="13">
        <v>269</v>
      </c>
      <c r="K285" s="14">
        <v>6.4519999999999999E-5</v>
      </c>
    </row>
    <row r="286" spans="1:11" ht="164" customHeight="1" x14ac:dyDescent="0.15">
      <c r="A286" s="9">
        <v>965</v>
      </c>
      <c r="B286" s="10" t="s">
        <v>855</v>
      </c>
      <c r="C286" s="11" t="s">
        <v>856</v>
      </c>
      <c r="D286" s="11" t="s">
        <v>857</v>
      </c>
      <c r="E286" s="12">
        <v>21</v>
      </c>
      <c r="F286" s="13">
        <v>21</v>
      </c>
      <c r="G286" s="7">
        <f>IF(OR(ISBLANK(E286), ISBLANK(F286)), 0, IF(E286=F286, 1, 0))</f>
        <v>1</v>
      </c>
      <c r="H286" s="13">
        <v>86</v>
      </c>
      <c r="I286" s="13">
        <v>162</v>
      </c>
      <c r="J286" s="13">
        <v>248</v>
      </c>
      <c r="K286" s="14">
        <v>9.9920000000000006E-5</v>
      </c>
    </row>
    <row r="287" spans="1:11" ht="224" customHeight="1" x14ac:dyDescent="0.15">
      <c r="A287" s="9">
        <v>3538</v>
      </c>
      <c r="B287" s="10" t="s">
        <v>858</v>
      </c>
      <c r="C287" s="11" t="s">
        <v>859</v>
      </c>
      <c r="D287" s="11" t="s">
        <v>860</v>
      </c>
      <c r="E287" s="13">
        <v>7</v>
      </c>
      <c r="F287" s="13">
        <v>7</v>
      </c>
      <c r="G287" s="7">
        <f t="shared" si="4"/>
        <v>1</v>
      </c>
      <c r="H287" s="13">
        <v>89</v>
      </c>
      <c r="I287" s="13">
        <v>220</v>
      </c>
      <c r="J287" s="13">
        <v>309</v>
      </c>
      <c r="K287" s="14">
        <v>9.9569999999999997E-5</v>
      </c>
    </row>
    <row r="288" spans="1:11" ht="212" customHeight="1" x14ac:dyDescent="0.15">
      <c r="A288" s="9">
        <v>1559</v>
      </c>
      <c r="B288" s="10" t="s">
        <v>861</v>
      </c>
      <c r="C288" s="11" t="s">
        <v>862</v>
      </c>
      <c r="D288" s="11" t="s">
        <v>863</v>
      </c>
      <c r="E288" s="13">
        <v>4</v>
      </c>
      <c r="F288" s="13">
        <v>4</v>
      </c>
      <c r="G288" s="7">
        <f t="shared" si="4"/>
        <v>1</v>
      </c>
      <c r="H288" s="13">
        <v>87</v>
      </c>
      <c r="I288" s="13">
        <v>228</v>
      </c>
      <c r="J288" s="13">
        <v>315</v>
      </c>
      <c r="K288" s="13">
        <v>1.02945E-4</v>
      </c>
    </row>
    <row r="289" spans="1:11" ht="212" customHeight="1" x14ac:dyDescent="0.15">
      <c r="A289" s="9">
        <v>87</v>
      </c>
      <c r="B289" s="10" t="s">
        <v>864</v>
      </c>
      <c r="C289" s="11" t="s">
        <v>865</v>
      </c>
      <c r="D289" s="11" t="s">
        <v>866</v>
      </c>
      <c r="E289" s="13">
        <v>600</v>
      </c>
      <c r="F289" s="13">
        <v>600</v>
      </c>
      <c r="G289" s="7">
        <f t="shared" si="4"/>
        <v>1</v>
      </c>
      <c r="H289" s="13">
        <v>75</v>
      </c>
      <c r="I289" s="13">
        <v>205</v>
      </c>
      <c r="J289" s="13">
        <v>280</v>
      </c>
      <c r="K289" s="14">
        <v>9.1749999999999994E-5</v>
      </c>
    </row>
    <row r="290" spans="1:11" ht="164" customHeight="1" x14ac:dyDescent="0.15">
      <c r="A290" s="9">
        <v>3340</v>
      </c>
      <c r="B290" s="10" t="s">
        <v>867</v>
      </c>
      <c r="C290" s="11" t="s">
        <v>868</v>
      </c>
      <c r="D290" s="11" t="s">
        <v>869</v>
      </c>
      <c r="E290" s="13">
        <v>55</v>
      </c>
      <c r="F290" s="13">
        <v>55</v>
      </c>
      <c r="G290" s="7">
        <f t="shared" si="4"/>
        <v>1</v>
      </c>
      <c r="H290" s="13">
        <v>77</v>
      </c>
      <c r="I290" s="13">
        <v>156</v>
      </c>
      <c r="J290" s="13">
        <v>233</v>
      </c>
      <c r="K290" s="14">
        <v>7.2410000000000006E-5</v>
      </c>
    </row>
    <row r="291" spans="1:11" ht="164" customHeight="1" x14ac:dyDescent="0.15">
      <c r="A291" s="9">
        <v>318</v>
      </c>
      <c r="B291" s="10" t="s">
        <v>870</v>
      </c>
      <c r="C291" s="11" t="s">
        <v>871</v>
      </c>
      <c r="D291" s="11" t="s">
        <v>872</v>
      </c>
      <c r="E291" s="13">
        <v>220</v>
      </c>
      <c r="F291" s="13">
        <v>220</v>
      </c>
      <c r="G291" s="7">
        <f t="shared" si="4"/>
        <v>1</v>
      </c>
      <c r="H291" s="13">
        <v>81</v>
      </c>
      <c r="I291" s="13">
        <v>145</v>
      </c>
      <c r="J291" s="13">
        <v>226</v>
      </c>
      <c r="K291" s="18">
        <v>9.0000000000000006E-5</v>
      </c>
    </row>
    <row r="292" spans="1:11" ht="212" customHeight="1" x14ac:dyDescent="0.15">
      <c r="A292" s="9">
        <v>4439</v>
      </c>
      <c r="B292" s="10" t="s">
        <v>873</v>
      </c>
      <c r="C292" s="11" t="s">
        <v>874</v>
      </c>
      <c r="D292" s="11" t="s">
        <v>875</v>
      </c>
      <c r="E292" s="12">
        <v>13</v>
      </c>
      <c r="F292" s="13">
        <v>13</v>
      </c>
      <c r="G292" s="7">
        <f t="shared" si="4"/>
        <v>1</v>
      </c>
      <c r="H292" s="13">
        <v>73</v>
      </c>
      <c r="I292" s="13">
        <v>206</v>
      </c>
      <c r="J292" s="13">
        <v>279</v>
      </c>
      <c r="K292" s="13">
        <v>1.7275E-4</v>
      </c>
    </row>
    <row r="293" spans="1:11" ht="56" customHeight="1" x14ac:dyDescent="0.15">
      <c r="A293" s="9">
        <v>3282</v>
      </c>
      <c r="B293" s="10" t="s">
        <v>876</v>
      </c>
      <c r="C293" s="11" t="s">
        <v>877</v>
      </c>
      <c r="D293" s="11" t="s">
        <v>350</v>
      </c>
      <c r="E293" s="12"/>
      <c r="F293" s="13">
        <v>21</v>
      </c>
      <c r="G293" s="7">
        <f t="shared" si="4"/>
        <v>0</v>
      </c>
      <c r="H293" s="13">
        <v>78</v>
      </c>
      <c r="I293" s="13">
        <v>4</v>
      </c>
      <c r="J293" s="13">
        <v>82</v>
      </c>
      <c r="K293" s="14">
        <v>1.2130000000000001E-5</v>
      </c>
    </row>
    <row r="294" spans="1:11" ht="212" customHeight="1" x14ac:dyDescent="0.15">
      <c r="A294" s="9">
        <v>4568</v>
      </c>
      <c r="B294" s="10" t="s">
        <v>878</v>
      </c>
      <c r="C294" s="11" t="s">
        <v>879</v>
      </c>
      <c r="D294" s="11" t="s">
        <v>880</v>
      </c>
      <c r="E294" s="13">
        <v>40</v>
      </c>
      <c r="F294" s="13">
        <v>40</v>
      </c>
      <c r="G294" s="7">
        <f t="shared" si="4"/>
        <v>1</v>
      </c>
      <c r="H294" s="13">
        <v>82</v>
      </c>
      <c r="I294" s="13">
        <v>137</v>
      </c>
      <c r="J294" s="13">
        <v>219</v>
      </c>
      <c r="K294" s="14">
        <v>8.6039999999999996E-5</v>
      </c>
    </row>
    <row r="295" spans="1:11" ht="116" customHeight="1" x14ac:dyDescent="0.15">
      <c r="A295" s="9">
        <v>3997</v>
      </c>
      <c r="B295" s="10" t="s">
        <v>881</v>
      </c>
      <c r="C295" s="11" t="s">
        <v>882</v>
      </c>
      <c r="D295" s="11" t="s">
        <v>883</v>
      </c>
      <c r="E295" s="13">
        <v>54</v>
      </c>
      <c r="F295" s="13">
        <v>54</v>
      </c>
      <c r="G295" s="7">
        <f t="shared" si="4"/>
        <v>1</v>
      </c>
      <c r="H295" s="13">
        <v>81</v>
      </c>
      <c r="I295" s="13">
        <v>112</v>
      </c>
      <c r="J295" s="13">
        <v>193</v>
      </c>
      <c r="K295" s="15">
        <v>5.5735000000000001E-5</v>
      </c>
    </row>
    <row r="296" spans="1:11" ht="188" customHeight="1" x14ac:dyDescent="0.15">
      <c r="A296" s="9">
        <v>2280</v>
      </c>
      <c r="B296" s="10" t="s">
        <v>884</v>
      </c>
      <c r="C296" s="11" t="s">
        <v>885</v>
      </c>
      <c r="D296" s="11" t="s">
        <v>886</v>
      </c>
      <c r="E296" s="13">
        <v>5</v>
      </c>
      <c r="F296" s="13">
        <v>5</v>
      </c>
      <c r="G296" s="7">
        <f t="shared" si="4"/>
        <v>1</v>
      </c>
      <c r="H296" s="13">
        <v>64</v>
      </c>
      <c r="I296" s="13">
        <v>203</v>
      </c>
      <c r="J296" s="13">
        <v>267</v>
      </c>
      <c r="K296" s="14">
        <v>8.9519999999999997E-5</v>
      </c>
    </row>
    <row r="297" spans="1:11" ht="272" customHeight="1" x14ac:dyDescent="0.15">
      <c r="A297" s="9">
        <v>6494</v>
      </c>
      <c r="B297" s="10" t="s">
        <v>887</v>
      </c>
      <c r="C297" s="11" t="s">
        <v>888</v>
      </c>
      <c r="D297" s="11" t="s">
        <v>889</v>
      </c>
      <c r="E297" s="13">
        <v>24000</v>
      </c>
      <c r="F297" s="13">
        <v>24000</v>
      </c>
      <c r="G297" s="7">
        <f t="shared" si="4"/>
        <v>1</v>
      </c>
      <c r="H297" s="13">
        <v>114</v>
      </c>
      <c r="I297" s="13">
        <v>294</v>
      </c>
      <c r="J297" s="13">
        <v>408</v>
      </c>
      <c r="K297" s="13">
        <v>1.0548E-4</v>
      </c>
    </row>
    <row r="298" spans="1:11" ht="320" customHeight="1" x14ac:dyDescent="0.15">
      <c r="A298" s="9">
        <v>5417</v>
      </c>
      <c r="B298" s="10" t="s">
        <v>890</v>
      </c>
      <c r="C298" s="11" t="s">
        <v>891</v>
      </c>
      <c r="D298" s="11" t="s">
        <v>892</v>
      </c>
      <c r="E298" s="13">
        <v>81</v>
      </c>
      <c r="F298" s="13">
        <v>81</v>
      </c>
      <c r="G298" s="7">
        <f t="shared" si="4"/>
        <v>1</v>
      </c>
      <c r="H298" s="13">
        <v>123</v>
      </c>
      <c r="I298" s="13">
        <v>279</v>
      </c>
      <c r="J298" s="13">
        <v>402</v>
      </c>
      <c r="K298" s="13">
        <v>1.6656E-4</v>
      </c>
    </row>
    <row r="299" spans="1:11" ht="140" customHeight="1" x14ac:dyDescent="0.15">
      <c r="A299" s="9">
        <v>4467</v>
      </c>
      <c r="B299" s="10" t="s">
        <v>893</v>
      </c>
      <c r="C299" s="11" t="s">
        <v>894</v>
      </c>
      <c r="D299" s="11" t="s">
        <v>895</v>
      </c>
      <c r="E299" s="13">
        <v>7</v>
      </c>
      <c r="F299" s="13">
        <v>7</v>
      </c>
      <c r="G299" s="7">
        <f t="shared" si="4"/>
        <v>1</v>
      </c>
      <c r="H299" s="13">
        <v>76</v>
      </c>
      <c r="I299" s="13">
        <v>130</v>
      </c>
      <c r="J299" s="13">
        <v>206</v>
      </c>
      <c r="K299" s="16">
        <v>4.9200000000000003E-5</v>
      </c>
    </row>
    <row r="300" spans="1:11" ht="44" customHeight="1" x14ac:dyDescent="0.15">
      <c r="A300" s="9">
        <v>4810</v>
      </c>
      <c r="B300" s="10" t="s">
        <v>896</v>
      </c>
      <c r="C300" s="11" t="s">
        <v>897</v>
      </c>
      <c r="D300" s="11" t="s">
        <v>898</v>
      </c>
      <c r="E300" s="12">
        <v>400</v>
      </c>
      <c r="F300" s="13">
        <v>400</v>
      </c>
      <c r="G300" s="7">
        <f t="shared" si="4"/>
        <v>1</v>
      </c>
      <c r="H300" s="13">
        <v>62</v>
      </c>
      <c r="I300" s="13">
        <v>6</v>
      </c>
      <c r="J300" s="13">
        <v>68</v>
      </c>
      <c r="K300" s="14">
        <v>1.664E-5</v>
      </c>
    </row>
    <row r="301" spans="1:11" ht="224" customHeight="1" x14ac:dyDescent="0.15">
      <c r="A301" s="9">
        <v>3534</v>
      </c>
      <c r="B301" s="10" t="s">
        <v>899</v>
      </c>
      <c r="C301" s="11" t="s">
        <v>900</v>
      </c>
      <c r="D301" s="11" t="s">
        <v>901</v>
      </c>
      <c r="E301" s="13">
        <v>22</v>
      </c>
      <c r="F301" s="13">
        <v>22</v>
      </c>
      <c r="G301" s="7">
        <f t="shared" si="4"/>
        <v>1</v>
      </c>
      <c r="H301" s="13">
        <v>73</v>
      </c>
      <c r="I301" s="13">
        <v>271</v>
      </c>
      <c r="J301" s="13">
        <v>344</v>
      </c>
      <c r="K301" s="14">
        <v>9.4019999999999998E-5</v>
      </c>
    </row>
    <row r="302" spans="1:11" ht="176" customHeight="1" x14ac:dyDescent="0.15">
      <c r="A302" s="9">
        <v>5681</v>
      </c>
      <c r="B302" s="10" t="s">
        <v>902</v>
      </c>
      <c r="C302" s="11" t="s">
        <v>903</v>
      </c>
      <c r="D302" s="11" t="s">
        <v>904</v>
      </c>
      <c r="E302" s="13">
        <v>18</v>
      </c>
      <c r="F302" s="13">
        <v>18</v>
      </c>
      <c r="G302" s="7">
        <f t="shared" si="4"/>
        <v>1</v>
      </c>
      <c r="H302" s="13">
        <v>71</v>
      </c>
      <c r="I302" s="13">
        <v>202</v>
      </c>
      <c r="J302" s="13">
        <v>273</v>
      </c>
      <c r="K302" s="14">
        <v>7.1740000000000001E-5</v>
      </c>
    </row>
    <row r="303" spans="1:11" ht="200" customHeight="1" x14ac:dyDescent="0.15">
      <c r="A303" s="9">
        <v>3050</v>
      </c>
      <c r="B303" s="10" t="s">
        <v>905</v>
      </c>
      <c r="C303" s="11" t="s">
        <v>906</v>
      </c>
      <c r="D303" s="11" t="s">
        <v>907</v>
      </c>
      <c r="E303" s="13">
        <v>12</v>
      </c>
      <c r="F303" s="13">
        <v>12</v>
      </c>
      <c r="G303" s="7">
        <f t="shared" si="4"/>
        <v>1</v>
      </c>
      <c r="H303" s="13">
        <v>64</v>
      </c>
      <c r="I303" s="13">
        <v>199</v>
      </c>
      <c r="J303" s="13">
        <v>263</v>
      </c>
      <c r="K303" s="13">
        <v>1.1357999999999999E-4</v>
      </c>
    </row>
    <row r="304" spans="1:11" ht="176" customHeight="1" x14ac:dyDescent="0.15">
      <c r="A304" s="9">
        <v>2233</v>
      </c>
      <c r="B304" s="10" t="s">
        <v>908</v>
      </c>
      <c r="C304" s="11" t="s">
        <v>909</v>
      </c>
      <c r="D304" s="11" t="s">
        <v>910</v>
      </c>
      <c r="E304" s="13">
        <v>110</v>
      </c>
      <c r="F304" s="13">
        <v>110</v>
      </c>
      <c r="G304" s="7">
        <f t="shared" si="4"/>
        <v>1</v>
      </c>
      <c r="H304" s="13">
        <v>75</v>
      </c>
      <c r="I304" s="13">
        <v>195</v>
      </c>
      <c r="J304" s="13">
        <v>270</v>
      </c>
      <c r="K304" s="13">
        <v>1.1400000000000001E-4</v>
      </c>
    </row>
    <row r="305" spans="1:11" ht="80" customHeight="1" x14ac:dyDescent="0.15">
      <c r="A305" s="9">
        <v>4457</v>
      </c>
      <c r="B305" s="10" t="s">
        <v>911</v>
      </c>
      <c r="C305" s="11" t="s">
        <v>912</v>
      </c>
      <c r="D305" s="11" t="s">
        <v>913</v>
      </c>
      <c r="E305" s="12">
        <v>105</v>
      </c>
      <c r="F305" s="13">
        <v>105</v>
      </c>
      <c r="G305" s="7">
        <f t="shared" si="4"/>
        <v>1</v>
      </c>
      <c r="H305" s="13">
        <v>68</v>
      </c>
      <c r="I305" s="13">
        <v>111</v>
      </c>
      <c r="J305" s="13">
        <v>179</v>
      </c>
      <c r="K305" s="14">
        <v>4.2320000000000001E-5</v>
      </c>
    </row>
    <row r="306" spans="1:11" ht="236" customHeight="1" x14ac:dyDescent="0.15">
      <c r="A306" s="9">
        <v>2764</v>
      </c>
      <c r="B306" s="10" t="s">
        <v>914</v>
      </c>
      <c r="C306" s="11" t="s">
        <v>915</v>
      </c>
      <c r="D306" s="11" t="s">
        <v>916</v>
      </c>
      <c r="E306" s="13">
        <v>53</v>
      </c>
      <c r="F306" s="13">
        <v>53</v>
      </c>
      <c r="G306" s="7">
        <f t="shared" si="4"/>
        <v>1</v>
      </c>
      <c r="H306" s="13">
        <v>93</v>
      </c>
      <c r="I306" s="13">
        <v>242</v>
      </c>
      <c r="J306" s="13">
        <v>335</v>
      </c>
      <c r="K306" s="14">
        <v>8.674E-5</v>
      </c>
    </row>
    <row r="307" spans="1:11" ht="224" customHeight="1" x14ac:dyDescent="0.15">
      <c r="A307" s="9">
        <v>7068</v>
      </c>
      <c r="B307" s="10" t="s">
        <v>917</v>
      </c>
      <c r="C307" s="11" t="s">
        <v>918</v>
      </c>
      <c r="D307" s="11" t="s">
        <v>919</v>
      </c>
      <c r="E307" s="12">
        <v>325</v>
      </c>
      <c r="F307" s="13">
        <v>325</v>
      </c>
      <c r="G307" s="7">
        <f t="shared" si="4"/>
        <v>1</v>
      </c>
      <c r="H307" s="13">
        <v>83</v>
      </c>
      <c r="I307" s="13">
        <v>228</v>
      </c>
      <c r="J307" s="13">
        <v>311</v>
      </c>
      <c r="K307" s="14">
        <v>8.1260000000000005E-5</v>
      </c>
    </row>
    <row r="308" spans="1:11" ht="368" customHeight="1" x14ac:dyDescent="0.15">
      <c r="A308" s="9">
        <v>3001</v>
      </c>
      <c r="B308" s="10" t="s">
        <v>920</v>
      </c>
      <c r="C308" s="11" t="s">
        <v>921</v>
      </c>
      <c r="D308" s="11" t="s">
        <v>922</v>
      </c>
      <c r="E308" s="13">
        <v>36</v>
      </c>
      <c r="F308" s="13">
        <v>36</v>
      </c>
      <c r="G308" s="7">
        <f t="shared" si="4"/>
        <v>1</v>
      </c>
      <c r="H308" s="13">
        <v>122</v>
      </c>
      <c r="I308" s="13">
        <v>477</v>
      </c>
      <c r="J308" s="13">
        <v>599</v>
      </c>
      <c r="K308" s="13">
        <v>2.7084E-4</v>
      </c>
    </row>
    <row r="309" spans="1:11" ht="188" customHeight="1" x14ac:dyDescent="0.15">
      <c r="A309" s="9">
        <v>1374</v>
      </c>
      <c r="B309" s="10" t="s">
        <v>923</v>
      </c>
      <c r="C309" s="11" t="s">
        <v>924</v>
      </c>
      <c r="D309" s="11" t="s">
        <v>925</v>
      </c>
      <c r="E309" s="13">
        <v>54</v>
      </c>
      <c r="F309" s="13">
        <v>54</v>
      </c>
      <c r="G309" s="7">
        <f t="shared" si="4"/>
        <v>1</v>
      </c>
      <c r="H309" s="13">
        <v>75</v>
      </c>
      <c r="I309" s="13">
        <v>210</v>
      </c>
      <c r="J309" s="13">
        <v>285</v>
      </c>
      <c r="K309" s="15">
        <v>9.4124999999999998E-5</v>
      </c>
    </row>
    <row r="310" spans="1:11" ht="56" customHeight="1" x14ac:dyDescent="0.15">
      <c r="A310" s="9">
        <v>7091</v>
      </c>
      <c r="B310" s="10" t="s">
        <v>926</v>
      </c>
      <c r="C310" s="11" t="s">
        <v>927</v>
      </c>
      <c r="D310" s="11" t="s">
        <v>928</v>
      </c>
      <c r="E310" s="12">
        <v>92</v>
      </c>
      <c r="F310" s="13">
        <v>92</v>
      </c>
      <c r="G310" s="7">
        <f t="shared" si="4"/>
        <v>1</v>
      </c>
      <c r="H310" s="13">
        <v>103</v>
      </c>
      <c r="I310" s="13">
        <v>4</v>
      </c>
      <c r="J310" s="13">
        <v>107</v>
      </c>
      <c r="K310" s="14">
        <v>1.948E-5</v>
      </c>
    </row>
    <row r="311" spans="1:11" ht="140" customHeight="1" x14ac:dyDescent="0.15">
      <c r="A311" s="9">
        <v>3605</v>
      </c>
      <c r="B311" s="10" t="s">
        <v>929</v>
      </c>
      <c r="C311" s="11" t="s">
        <v>930</v>
      </c>
      <c r="D311" s="11" t="s">
        <v>931</v>
      </c>
      <c r="E311" s="13">
        <v>3</v>
      </c>
      <c r="F311" s="13">
        <v>3</v>
      </c>
      <c r="G311" s="7">
        <f t="shared" si="4"/>
        <v>1</v>
      </c>
      <c r="H311" s="13">
        <v>98</v>
      </c>
      <c r="I311" s="13">
        <v>155</v>
      </c>
      <c r="J311" s="13">
        <v>253</v>
      </c>
      <c r="K311" s="16">
        <v>9.8599999999999998E-5</v>
      </c>
    </row>
    <row r="312" spans="1:11" ht="236" customHeight="1" x14ac:dyDescent="0.15">
      <c r="A312" s="9">
        <v>5167</v>
      </c>
      <c r="B312" s="10" t="s">
        <v>932</v>
      </c>
      <c r="C312" s="11" t="s">
        <v>933</v>
      </c>
      <c r="D312" s="11" t="s">
        <v>934</v>
      </c>
      <c r="E312" s="13">
        <v>24500</v>
      </c>
      <c r="F312" s="13">
        <v>24500</v>
      </c>
      <c r="G312" s="7">
        <f t="shared" si="4"/>
        <v>1</v>
      </c>
      <c r="H312" s="13">
        <v>87</v>
      </c>
      <c r="I312" s="13">
        <v>250</v>
      </c>
      <c r="J312" s="13">
        <v>337</v>
      </c>
      <c r="K312" s="13">
        <v>1.4414000000000001E-4</v>
      </c>
    </row>
    <row r="313" spans="1:11" ht="128" customHeight="1" x14ac:dyDescent="0.15">
      <c r="A313" s="9">
        <v>4947</v>
      </c>
      <c r="B313" s="10" t="s">
        <v>935</v>
      </c>
      <c r="C313" s="11" t="s">
        <v>936</v>
      </c>
      <c r="D313" s="11" t="s">
        <v>937</v>
      </c>
      <c r="E313" s="13">
        <v>300</v>
      </c>
      <c r="F313" s="13">
        <v>300</v>
      </c>
      <c r="G313" s="7">
        <f t="shared" si="4"/>
        <v>1</v>
      </c>
      <c r="H313" s="13">
        <v>79</v>
      </c>
      <c r="I313" s="13">
        <v>125</v>
      </c>
      <c r="J313" s="13">
        <v>204</v>
      </c>
      <c r="K313" s="15">
        <v>6.0665000000000003E-5</v>
      </c>
    </row>
    <row r="314" spans="1:11" ht="272" customHeight="1" x14ac:dyDescent="0.15">
      <c r="A314" s="9">
        <v>6025</v>
      </c>
      <c r="B314" s="10" t="s">
        <v>938</v>
      </c>
      <c r="C314" s="11" t="s">
        <v>939</v>
      </c>
      <c r="D314" s="11" t="s">
        <v>940</v>
      </c>
      <c r="E314" s="13">
        <v>14</v>
      </c>
      <c r="F314" s="13">
        <v>14</v>
      </c>
      <c r="G314" s="7">
        <f t="shared" si="4"/>
        <v>1</v>
      </c>
      <c r="H314" s="13">
        <v>104</v>
      </c>
      <c r="I314" s="13">
        <v>306</v>
      </c>
      <c r="J314" s="13">
        <v>410</v>
      </c>
      <c r="K314" s="13">
        <v>1.7672E-4</v>
      </c>
    </row>
    <row r="315" spans="1:11" ht="164" customHeight="1" x14ac:dyDescent="0.15">
      <c r="A315" s="9">
        <v>2338</v>
      </c>
      <c r="B315" s="10" t="s">
        <v>941</v>
      </c>
      <c r="C315" s="11" t="s">
        <v>942</v>
      </c>
      <c r="D315" s="11" t="s">
        <v>943</v>
      </c>
      <c r="E315" s="13">
        <v>25</v>
      </c>
      <c r="F315" s="13">
        <v>30</v>
      </c>
      <c r="G315" s="7">
        <f t="shared" si="4"/>
        <v>0</v>
      </c>
      <c r="H315" s="13">
        <v>57</v>
      </c>
      <c r="I315" s="13">
        <v>177</v>
      </c>
      <c r="J315" s="13">
        <v>234</v>
      </c>
      <c r="K315" s="14">
        <v>6.2340000000000003E-5</v>
      </c>
    </row>
    <row r="316" spans="1:11" ht="152" customHeight="1" x14ac:dyDescent="0.15">
      <c r="A316" s="9">
        <v>1871</v>
      </c>
      <c r="B316" s="10" t="s">
        <v>944</v>
      </c>
      <c r="C316" s="11" t="s">
        <v>945</v>
      </c>
      <c r="D316" s="11" t="s">
        <v>946</v>
      </c>
      <c r="E316" s="13">
        <v>110</v>
      </c>
      <c r="F316" s="13">
        <v>110</v>
      </c>
      <c r="G316" s="7">
        <f t="shared" si="4"/>
        <v>1</v>
      </c>
      <c r="H316" s="13">
        <v>61</v>
      </c>
      <c r="I316" s="13">
        <v>127</v>
      </c>
      <c r="J316" s="13">
        <v>188</v>
      </c>
      <c r="K316" s="14">
        <v>4.6740000000000003E-5</v>
      </c>
    </row>
    <row r="317" spans="1:11" ht="176" customHeight="1" x14ac:dyDescent="0.15">
      <c r="A317" s="9">
        <v>4129</v>
      </c>
      <c r="B317" s="10" t="s">
        <v>947</v>
      </c>
      <c r="C317" s="11" t="s">
        <v>948</v>
      </c>
      <c r="D317" s="11" t="s">
        <v>949</v>
      </c>
      <c r="E317" s="13">
        <v>92</v>
      </c>
      <c r="F317" s="13">
        <v>92</v>
      </c>
      <c r="G317" s="7">
        <f t="shared" si="4"/>
        <v>1</v>
      </c>
      <c r="H317" s="13">
        <v>88</v>
      </c>
      <c r="I317" s="13">
        <v>191</v>
      </c>
      <c r="J317" s="13">
        <v>279</v>
      </c>
      <c r="K317" s="13">
        <v>1.6525000000000001E-4</v>
      </c>
    </row>
    <row r="318" spans="1:11" ht="116" customHeight="1" x14ac:dyDescent="0.15">
      <c r="A318" s="9">
        <v>763</v>
      </c>
      <c r="B318" s="10" t="s">
        <v>950</v>
      </c>
      <c r="C318" s="11" t="s">
        <v>951</v>
      </c>
      <c r="D318" s="11" t="s">
        <v>952</v>
      </c>
      <c r="E318" s="13">
        <v>6</v>
      </c>
      <c r="F318" s="13">
        <v>6</v>
      </c>
      <c r="G318" s="7">
        <f t="shared" si="4"/>
        <v>1</v>
      </c>
      <c r="H318" s="13">
        <v>63</v>
      </c>
      <c r="I318" s="13">
        <v>124</v>
      </c>
      <c r="J318" s="13">
        <v>187</v>
      </c>
      <c r="K318" s="14">
        <v>4.5979999999999997E-5</v>
      </c>
    </row>
    <row r="319" spans="1:11" ht="248" customHeight="1" x14ac:dyDescent="0.15">
      <c r="A319" s="9">
        <v>1665</v>
      </c>
      <c r="B319" s="10" t="s">
        <v>953</v>
      </c>
      <c r="C319" s="11" t="s">
        <v>954</v>
      </c>
      <c r="D319" s="11" t="s">
        <v>955</v>
      </c>
      <c r="E319" s="13">
        <v>32</v>
      </c>
      <c r="F319" s="13">
        <v>32</v>
      </c>
      <c r="G319" s="7">
        <f t="shared" si="4"/>
        <v>1</v>
      </c>
      <c r="H319" s="13">
        <v>109</v>
      </c>
      <c r="I319" s="13">
        <v>263</v>
      </c>
      <c r="J319" s="13">
        <v>372</v>
      </c>
      <c r="K319" s="13">
        <v>1.5536E-4</v>
      </c>
    </row>
    <row r="320" spans="1:11" ht="188" customHeight="1" x14ac:dyDescent="0.15">
      <c r="A320" s="9">
        <v>1425</v>
      </c>
      <c r="B320" s="10" t="s">
        <v>956</v>
      </c>
      <c r="C320" s="11" t="s">
        <v>957</v>
      </c>
      <c r="D320" s="11" t="s">
        <v>958</v>
      </c>
      <c r="E320" s="13">
        <v>10</v>
      </c>
      <c r="F320" s="13">
        <v>10</v>
      </c>
      <c r="G320" s="7">
        <f t="shared" si="4"/>
        <v>1</v>
      </c>
      <c r="H320" s="13">
        <v>99</v>
      </c>
      <c r="I320" s="13">
        <v>173</v>
      </c>
      <c r="J320" s="13">
        <v>272</v>
      </c>
      <c r="K320" s="13">
        <v>4.1877599999999999E-4</v>
      </c>
    </row>
    <row r="321" spans="1:11" ht="44" customHeight="1" x14ac:dyDescent="0.15">
      <c r="A321" s="9">
        <v>6868</v>
      </c>
      <c r="B321" s="10" t="s">
        <v>959</v>
      </c>
      <c r="C321" s="11" t="s">
        <v>960</v>
      </c>
      <c r="D321" s="11" t="s">
        <v>961</v>
      </c>
      <c r="E321" s="12">
        <v>14</v>
      </c>
      <c r="F321" s="13">
        <v>14</v>
      </c>
      <c r="G321" s="7">
        <f t="shared" si="4"/>
        <v>1</v>
      </c>
      <c r="H321" s="13">
        <v>56</v>
      </c>
      <c r="I321" s="13">
        <v>3</v>
      </c>
      <c r="J321" s="13">
        <v>59</v>
      </c>
      <c r="K321" s="14">
        <v>1.6249999999999999E-5</v>
      </c>
    </row>
    <row r="322" spans="1:11" ht="248" customHeight="1" x14ac:dyDescent="0.15">
      <c r="A322" s="9">
        <v>4359</v>
      </c>
      <c r="B322" s="10" t="s">
        <v>962</v>
      </c>
      <c r="C322" s="11" t="s">
        <v>963</v>
      </c>
      <c r="D322" s="11" t="s">
        <v>964</v>
      </c>
      <c r="E322" s="13">
        <v>10</v>
      </c>
      <c r="F322" s="13">
        <v>10</v>
      </c>
      <c r="G322" s="7">
        <f t="shared" si="4"/>
        <v>1</v>
      </c>
      <c r="H322" s="13">
        <v>80</v>
      </c>
      <c r="I322" s="13">
        <v>234</v>
      </c>
      <c r="J322" s="13">
        <v>314</v>
      </c>
      <c r="K322" s="13">
        <v>1.3459999999999999E-4</v>
      </c>
    </row>
    <row r="323" spans="1:11" ht="212" customHeight="1" x14ac:dyDescent="0.15">
      <c r="A323" s="9">
        <v>509</v>
      </c>
      <c r="B323" s="10" t="s">
        <v>965</v>
      </c>
      <c r="C323" s="11" t="s">
        <v>966</v>
      </c>
      <c r="D323" s="11" t="s">
        <v>967</v>
      </c>
      <c r="E323" s="12">
        <v>6</v>
      </c>
      <c r="F323" s="13">
        <v>6</v>
      </c>
      <c r="G323" s="7">
        <f t="shared" si="4"/>
        <v>1</v>
      </c>
      <c r="H323" s="13">
        <v>104</v>
      </c>
      <c r="I323" s="13">
        <v>211</v>
      </c>
      <c r="J323" s="13">
        <v>315</v>
      </c>
      <c r="K323" s="13">
        <v>2.2680000000000001E-4</v>
      </c>
    </row>
    <row r="324" spans="1:11" ht="236" customHeight="1" x14ac:dyDescent="0.15">
      <c r="A324" s="9">
        <v>2835</v>
      </c>
      <c r="B324" s="10" t="s">
        <v>968</v>
      </c>
      <c r="C324" s="11" t="s">
        <v>969</v>
      </c>
      <c r="D324" s="11" t="s">
        <v>970</v>
      </c>
      <c r="E324" s="13">
        <v>1400</v>
      </c>
      <c r="F324" s="13">
        <v>1400</v>
      </c>
      <c r="G324" s="7">
        <f t="shared" ref="G324:G387" si="5">IF(OR(ISBLANK(E324), ISBLANK(F324)), 0, IF(E324=F324, 1, 0))</f>
        <v>1</v>
      </c>
      <c r="H324" s="13">
        <v>122</v>
      </c>
      <c r="I324" s="13">
        <v>232</v>
      </c>
      <c r="J324" s="13">
        <v>354</v>
      </c>
      <c r="K324" s="13">
        <v>1.4184000000000001E-4</v>
      </c>
    </row>
    <row r="325" spans="1:11" ht="140" customHeight="1" x14ac:dyDescent="0.15">
      <c r="A325" s="9">
        <v>6033</v>
      </c>
      <c r="B325" s="10" t="s">
        <v>971</v>
      </c>
      <c r="C325" s="11" t="s">
        <v>972</v>
      </c>
      <c r="D325" s="11" t="s">
        <v>973</v>
      </c>
      <c r="E325" s="13">
        <v>25</v>
      </c>
      <c r="F325" s="13">
        <v>25</v>
      </c>
      <c r="G325" s="7">
        <f t="shared" si="5"/>
        <v>1</v>
      </c>
      <c r="H325" s="13">
        <v>79</v>
      </c>
      <c r="I325" s="13">
        <v>174</v>
      </c>
      <c r="J325" s="13">
        <v>253</v>
      </c>
      <c r="K325" s="15">
        <v>8.0265000000000005E-5</v>
      </c>
    </row>
    <row r="326" spans="1:11" ht="44" customHeight="1" x14ac:dyDescent="0.15">
      <c r="A326" s="9">
        <v>5488</v>
      </c>
      <c r="B326" s="10" t="s">
        <v>974</v>
      </c>
      <c r="C326" s="11" t="s">
        <v>975</v>
      </c>
      <c r="D326" s="11" t="s">
        <v>976</v>
      </c>
      <c r="E326" s="13">
        <v>647082</v>
      </c>
      <c r="F326" s="13">
        <v>655502</v>
      </c>
      <c r="G326" s="7">
        <f t="shared" si="5"/>
        <v>0</v>
      </c>
      <c r="H326" s="13">
        <v>83</v>
      </c>
      <c r="I326" s="13">
        <v>5</v>
      </c>
      <c r="J326" s="13">
        <v>88</v>
      </c>
      <c r="K326" s="15">
        <v>3.5583999999999997E-5</v>
      </c>
    </row>
    <row r="327" spans="1:11" ht="116" customHeight="1" x14ac:dyDescent="0.15">
      <c r="A327" s="9">
        <v>69</v>
      </c>
      <c r="B327" s="10" t="s">
        <v>977</v>
      </c>
      <c r="C327" s="11" t="s">
        <v>978</v>
      </c>
      <c r="D327" s="11" t="s">
        <v>979</v>
      </c>
      <c r="E327" s="13">
        <v>49</v>
      </c>
      <c r="F327" s="13">
        <v>49</v>
      </c>
      <c r="G327" s="7">
        <f t="shared" si="5"/>
        <v>1</v>
      </c>
      <c r="H327" s="13">
        <v>79</v>
      </c>
      <c r="I327" s="13">
        <v>140</v>
      </c>
      <c r="J327" s="13">
        <v>219</v>
      </c>
      <c r="K327" s="16">
        <v>8.5400000000000002E-5</v>
      </c>
    </row>
    <row r="328" spans="1:11" ht="200" customHeight="1" x14ac:dyDescent="0.15">
      <c r="A328" s="9">
        <v>6492</v>
      </c>
      <c r="B328" s="10" t="s">
        <v>980</v>
      </c>
      <c r="C328" s="11" t="s">
        <v>981</v>
      </c>
      <c r="D328" s="11" t="s">
        <v>982</v>
      </c>
      <c r="E328" s="13">
        <v>100</v>
      </c>
      <c r="F328" s="13">
        <v>100</v>
      </c>
      <c r="G328" s="7">
        <f t="shared" si="5"/>
        <v>1</v>
      </c>
      <c r="H328" s="13">
        <v>53</v>
      </c>
      <c r="I328" s="13">
        <v>244</v>
      </c>
      <c r="J328" s="13">
        <v>297</v>
      </c>
      <c r="K328" s="13">
        <v>1.04755E-4</v>
      </c>
    </row>
    <row r="329" spans="1:11" ht="104" customHeight="1" x14ac:dyDescent="0.15">
      <c r="A329" s="9">
        <v>5397</v>
      </c>
      <c r="B329" s="10" t="s">
        <v>983</v>
      </c>
      <c r="C329" s="11" t="s">
        <v>984</v>
      </c>
      <c r="D329" s="11" t="s">
        <v>985</v>
      </c>
      <c r="E329" s="13">
        <v>79</v>
      </c>
      <c r="F329" s="13">
        <v>79</v>
      </c>
      <c r="G329" s="7">
        <f t="shared" si="5"/>
        <v>1</v>
      </c>
      <c r="H329" s="13">
        <v>98</v>
      </c>
      <c r="I329" s="13">
        <v>141</v>
      </c>
      <c r="J329" s="13">
        <v>239</v>
      </c>
      <c r="K329" s="14">
        <v>6.9629999999999996E-5</v>
      </c>
    </row>
    <row r="330" spans="1:11" ht="188" customHeight="1" x14ac:dyDescent="0.15">
      <c r="A330" s="9">
        <v>7286</v>
      </c>
      <c r="B330" s="10" t="s">
        <v>986</v>
      </c>
      <c r="C330" s="11" t="s">
        <v>987</v>
      </c>
      <c r="D330" s="11" t="s">
        <v>988</v>
      </c>
      <c r="E330" s="13">
        <v>50</v>
      </c>
      <c r="F330" s="13">
        <v>50</v>
      </c>
      <c r="G330" s="7">
        <f t="shared" si="5"/>
        <v>1</v>
      </c>
      <c r="H330" s="13">
        <v>106</v>
      </c>
      <c r="I330" s="13">
        <v>209</v>
      </c>
      <c r="J330" s="13">
        <v>315</v>
      </c>
      <c r="K330" s="13">
        <v>1.2668E-4</v>
      </c>
    </row>
    <row r="331" spans="1:11" ht="260" customHeight="1" x14ac:dyDescent="0.15">
      <c r="A331" s="9">
        <v>2576</v>
      </c>
      <c r="B331" s="10" t="s">
        <v>989</v>
      </c>
      <c r="C331" s="11" t="s">
        <v>990</v>
      </c>
      <c r="D331" s="11" t="s">
        <v>991</v>
      </c>
      <c r="E331" s="13">
        <v>14</v>
      </c>
      <c r="F331" s="13">
        <v>14</v>
      </c>
      <c r="G331" s="7">
        <f t="shared" si="5"/>
        <v>1</v>
      </c>
      <c r="H331" s="13">
        <v>123</v>
      </c>
      <c r="I331" s="13">
        <v>261</v>
      </c>
      <c r="J331" s="13">
        <v>384</v>
      </c>
      <c r="K331" s="14">
        <v>9.5820000000000001E-5</v>
      </c>
    </row>
    <row r="332" spans="1:11" ht="44" customHeight="1" x14ac:dyDescent="0.15">
      <c r="A332" s="9">
        <v>332</v>
      </c>
      <c r="B332" s="10" t="s">
        <v>992</v>
      </c>
      <c r="C332" s="11" t="s">
        <v>993</v>
      </c>
      <c r="D332" s="11" t="s">
        <v>994</v>
      </c>
      <c r="E332" s="12">
        <v>49200</v>
      </c>
      <c r="F332" s="13">
        <v>49200</v>
      </c>
      <c r="G332" s="7">
        <f t="shared" si="5"/>
        <v>1</v>
      </c>
      <c r="H332" s="13">
        <v>65</v>
      </c>
      <c r="I332" s="13">
        <v>5</v>
      </c>
      <c r="J332" s="13">
        <v>70</v>
      </c>
      <c r="K332" s="18">
        <v>2.0000000000000002E-5</v>
      </c>
    </row>
    <row r="333" spans="1:11" ht="212" customHeight="1" x14ac:dyDescent="0.15">
      <c r="A333" s="9">
        <v>7025</v>
      </c>
      <c r="B333" s="10" t="s">
        <v>995</v>
      </c>
      <c r="C333" s="11" t="s">
        <v>996</v>
      </c>
      <c r="D333" s="11" t="s">
        <v>997</v>
      </c>
      <c r="E333" s="13">
        <v>525</v>
      </c>
      <c r="F333" s="13">
        <v>525</v>
      </c>
      <c r="G333" s="7">
        <f t="shared" si="5"/>
        <v>1</v>
      </c>
      <c r="H333" s="13">
        <v>109</v>
      </c>
      <c r="I333" s="13">
        <v>181</v>
      </c>
      <c r="J333" s="13">
        <v>290</v>
      </c>
      <c r="K333" s="14">
        <v>6.8819999999999995E-5</v>
      </c>
    </row>
    <row r="334" spans="1:11" ht="176" customHeight="1" x14ac:dyDescent="0.15">
      <c r="A334" s="9">
        <v>2328</v>
      </c>
      <c r="B334" s="10" t="s">
        <v>998</v>
      </c>
      <c r="C334" s="11" t="s">
        <v>999</v>
      </c>
      <c r="D334" s="11" t="s">
        <v>1000</v>
      </c>
      <c r="E334" s="13">
        <v>204</v>
      </c>
      <c r="F334" s="13">
        <v>204</v>
      </c>
      <c r="G334" s="7">
        <f t="shared" si="5"/>
        <v>1</v>
      </c>
      <c r="H334" s="13">
        <v>55</v>
      </c>
      <c r="I334" s="13">
        <v>155</v>
      </c>
      <c r="J334" s="13">
        <v>210</v>
      </c>
      <c r="K334" s="15">
        <v>6.9424999999999993E-5</v>
      </c>
    </row>
    <row r="335" spans="1:11" ht="140" customHeight="1" x14ac:dyDescent="0.15">
      <c r="A335" s="9">
        <v>3978</v>
      </c>
      <c r="B335" s="10" t="s">
        <v>1001</v>
      </c>
      <c r="C335" s="11" t="s">
        <v>1002</v>
      </c>
      <c r="D335" s="11" t="s">
        <v>1003</v>
      </c>
      <c r="E335" s="13">
        <v>7</v>
      </c>
      <c r="F335" s="13">
        <v>7</v>
      </c>
      <c r="G335" s="7">
        <f t="shared" si="5"/>
        <v>1</v>
      </c>
      <c r="H335" s="13">
        <v>58</v>
      </c>
      <c r="I335" s="13">
        <v>147</v>
      </c>
      <c r="J335" s="13">
        <v>205</v>
      </c>
      <c r="K335" s="14">
        <v>5.2840000000000002E-5</v>
      </c>
    </row>
    <row r="336" spans="1:11" ht="236" customHeight="1" x14ac:dyDescent="0.15">
      <c r="A336" s="9">
        <v>393</v>
      </c>
      <c r="B336" s="10" t="s">
        <v>1004</v>
      </c>
      <c r="C336" s="11" t="s">
        <v>1005</v>
      </c>
      <c r="D336" s="11" t="s">
        <v>1006</v>
      </c>
      <c r="E336" s="13">
        <v>5</v>
      </c>
      <c r="F336" s="13">
        <v>5</v>
      </c>
      <c r="G336" s="7">
        <f t="shared" si="5"/>
        <v>1</v>
      </c>
      <c r="H336" s="13">
        <v>61</v>
      </c>
      <c r="I336" s="13">
        <v>227</v>
      </c>
      <c r="J336" s="13">
        <v>288</v>
      </c>
      <c r="K336" s="15">
        <v>9.9035000000000003E-5</v>
      </c>
    </row>
    <row r="337" spans="1:11" ht="260" customHeight="1" x14ac:dyDescent="0.15">
      <c r="A337" s="9">
        <v>3244</v>
      </c>
      <c r="B337" s="10" t="s">
        <v>1007</v>
      </c>
      <c r="C337" s="11" t="s">
        <v>1008</v>
      </c>
      <c r="D337" s="11" t="s">
        <v>1009</v>
      </c>
      <c r="E337" s="13">
        <v>125</v>
      </c>
      <c r="F337" s="13">
        <v>125</v>
      </c>
      <c r="G337" s="7">
        <f t="shared" si="5"/>
        <v>1</v>
      </c>
      <c r="H337" s="13">
        <v>106</v>
      </c>
      <c r="I337" s="13">
        <v>277</v>
      </c>
      <c r="J337" s="13">
        <v>383</v>
      </c>
      <c r="K337" s="14">
        <v>9.9240000000000005E-5</v>
      </c>
    </row>
    <row r="338" spans="1:11" ht="188" customHeight="1" x14ac:dyDescent="0.15">
      <c r="A338" s="9">
        <v>408</v>
      </c>
      <c r="B338" s="10" t="s">
        <v>1010</v>
      </c>
      <c r="C338" s="11" t="s">
        <v>1011</v>
      </c>
      <c r="D338" s="11" t="s">
        <v>1012</v>
      </c>
      <c r="E338" s="13">
        <v>52</v>
      </c>
      <c r="F338" s="13">
        <v>52</v>
      </c>
      <c r="G338" s="7">
        <f t="shared" si="5"/>
        <v>1</v>
      </c>
      <c r="H338" s="13">
        <v>88</v>
      </c>
      <c r="I338" s="13">
        <v>157</v>
      </c>
      <c r="J338" s="13">
        <v>245</v>
      </c>
      <c r="K338" s="14">
        <v>9.7860000000000002E-5</v>
      </c>
    </row>
    <row r="339" spans="1:11" ht="212" customHeight="1" x14ac:dyDescent="0.15">
      <c r="A339" s="9">
        <v>6369</v>
      </c>
      <c r="B339" s="10" t="s">
        <v>1013</v>
      </c>
      <c r="C339" s="11" t="s">
        <v>1014</v>
      </c>
      <c r="D339" s="11" t="s">
        <v>1015</v>
      </c>
      <c r="E339" s="13">
        <v>25</v>
      </c>
      <c r="F339" s="13">
        <v>25</v>
      </c>
      <c r="G339" s="7">
        <f t="shared" si="5"/>
        <v>1</v>
      </c>
      <c r="H339" s="13">
        <v>74</v>
      </c>
      <c r="I339" s="13">
        <v>221</v>
      </c>
      <c r="J339" s="13">
        <v>295</v>
      </c>
      <c r="K339" s="14">
        <v>9.8389999999999998E-5</v>
      </c>
    </row>
    <row r="340" spans="1:11" ht="200" customHeight="1" x14ac:dyDescent="0.15">
      <c r="A340" s="9">
        <v>5577</v>
      </c>
      <c r="B340" s="10" t="s">
        <v>1016</v>
      </c>
      <c r="C340" s="11" t="s">
        <v>1017</v>
      </c>
      <c r="D340" s="11" t="s">
        <v>1018</v>
      </c>
      <c r="E340" s="13">
        <v>1050</v>
      </c>
      <c r="F340" s="13">
        <v>1050</v>
      </c>
      <c r="G340" s="7">
        <f t="shared" si="5"/>
        <v>1</v>
      </c>
      <c r="H340" s="13">
        <v>75</v>
      </c>
      <c r="I340" s="13">
        <v>246</v>
      </c>
      <c r="J340" s="13">
        <v>321</v>
      </c>
      <c r="K340" s="13">
        <v>1.4132000000000001E-4</v>
      </c>
    </row>
    <row r="341" spans="1:11" ht="308" customHeight="1" x14ac:dyDescent="0.15">
      <c r="A341" s="9">
        <v>743</v>
      </c>
      <c r="B341" s="10" t="s">
        <v>1019</v>
      </c>
      <c r="C341" s="11" t="s">
        <v>1020</v>
      </c>
      <c r="D341" s="11" t="s">
        <v>1021</v>
      </c>
      <c r="E341" s="13">
        <v>106000</v>
      </c>
      <c r="F341" s="13">
        <v>106000</v>
      </c>
      <c r="G341" s="7">
        <f t="shared" si="5"/>
        <v>1</v>
      </c>
      <c r="H341" s="13">
        <v>134</v>
      </c>
      <c r="I341" s="13">
        <v>337</v>
      </c>
      <c r="J341" s="13">
        <v>471</v>
      </c>
      <c r="K341" s="13">
        <v>1.9883999999999999E-4</v>
      </c>
    </row>
    <row r="342" spans="1:11" ht="164" customHeight="1" x14ac:dyDescent="0.15">
      <c r="A342" s="9">
        <v>1075</v>
      </c>
      <c r="B342" s="10" t="s">
        <v>1022</v>
      </c>
      <c r="C342" s="11" t="s">
        <v>1023</v>
      </c>
      <c r="D342" s="11" t="s">
        <v>1024</v>
      </c>
      <c r="E342" s="13">
        <v>195</v>
      </c>
      <c r="F342" s="13">
        <v>195</v>
      </c>
      <c r="G342" s="7">
        <f t="shared" si="5"/>
        <v>1</v>
      </c>
      <c r="H342" s="13">
        <v>120</v>
      </c>
      <c r="I342" s="13">
        <v>182</v>
      </c>
      <c r="J342" s="13">
        <v>302</v>
      </c>
      <c r="K342" s="13">
        <v>1.1739999999999999E-4</v>
      </c>
    </row>
    <row r="343" spans="1:11" ht="164" customHeight="1" x14ac:dyDescent="0.15">
      <c r="A343" s="9">
        <v>1056</v>
      </c>
      <c r="B343" s="10" t="s">
        <v>1025</v>
      </c>
      <c r="C343" s="11" t="s">
        <v>1026</v>
      </c>
      <c r="D343" s="11" t="s">
        <v>1027</v>
      </c>
      <c r="E343" s="13">
        <v>8</v>
      </c>
      <c r="F343" s="13">
        <v>8</v>
      </c>
      <c r="G343" s="7">
        <f t="shared" si="5"/>
        <v>1</v>
      </c>
      <c r="H343" s="13">
        <v>102</v>
      </c>
      <c r="I343" s="13">
        <v>150</v>
      </c>
      <c r="J343" s="13">
        <v>252</v>
      </c>
      <c r="K343" s="16">
        <v>9.5199999999999997E-5</v>
      </c>
    </row>
    <row r="344" spans="1:11" ht="200" customHeight="1" x14ac:dyDescent="0.15">
      <c r="A344" s="9">
        <v>6744</v>
      </c>
      <c r="B344" s="10" t="s">
        <v>1028</v>
      </c>
      <c r="C344" s="11" t="s">
        <v>1029</v>
      </c>
      <c r="D344" s="11" t="s">
        <v>1030</v>
      </c>
      <c r="E344" s="13">
        <v>250</v>
      </c>
      <c r="F344" s="13">
        <v>250</v>
      </c>
      <c r="G344" s="7">
        <f t="shared" si="5"/>
        <v>1</v>
      </c>
      <c r="H344" s="13">
        <v>95</v>
      </c>
      <c r="I344" s="13">
        <v>209</v>
      </c>
      <c r="J344" s="13">
        <v>304</v>
      </c>
      <c r="K344" s="13">
        <v>1.2540000000000001E-4</v>
      </c>
    </row>
    <row r="345" spans="1:11" ht="116" customHeight="1" x14ac:dyDescent="0.15">
      <c r="A345" s="9">
        <v>7250</v>
      </c>
      <c r="B345" s="10" t="s">
        <v>1031</v>
      </c>
      <c r="C345" s="11" t="s">
        <v>1032</v>
      </c>
      <c r="D345" s="11" t="s">
        <v>1033</v>
      </c>
      <c r="E345" s="12"/>
      <c r="F345" s="13">
        <v>48</v>
      </c>
      <c r="G345" s="7">
        <f t="shared" si="5"/>
        <v>0</v>
      </c>
      <c r="H345" s="13">
        <v>124</v>
      </c>
      <c r="I345" s="13">
        <v>107</v>
      </c>
      <c r="J345" s="13">
        <v>231</v>
      </c>
      <c r="K345" s="14">
        <v>4.6640000000000001E-5</v>
      </c>
    </row>
    <row r="346" spans="1:11" ht="248" customHeight="1" x14ac:dyDescent="0.15">
      <c r="A346" s="9">
        <v>2648</v>
      </c>
      <c r="B346" s="10" t="s">
        <v>1034</v>
      </c>
      <c r="C346" s="11" t="s">
        <v>1035</v>
      </c>
      <c r="D346" s="11" t="s">
        <v>1036</v>
      </c>
      <c r="E346" s="13">
        <v>9</v>
      </c>
      <c r="F346" s="13">
        <v>9</v>
      </c>
      <c r="G346" s="7">
        <f t="shared" si="5"/>
        <v>1</v>
      </c>
      <c r="H346" s="13">
        <v>71</v>
      </c>
      <c r="I346" s="13">
        <v>224</v>
      </c>
      <c r="J346" s="13">
        <v>295</v>
      </c>
      <c r="K346" s="15">
        <v>9.9185000000000007E-5</v>
      </c>
    </row>
    <row r="347" spans="1:11" ht="248" customHeight="1" x14ac:dyDescent="0.15">
      <c r="A347" s="9">
        <v>6643</v>
      </c>
      <c r="B347" s="10" t="s">
        <v>1037</v>
      </c>
      <c r="C347" s="11" t="s">
        <v>1038</v>
      </c>
      <c r="D347" s="11" t="s">
        <v>1039</v>
      </c>
      <c r="E347" s="13">
        <v>74</v>
      </c>
      <c r="F347" s="13">
        <v>74</v>
      </c>
      <c r="G347" s="7">
        <f t="shared" si="5"/>
        <v>1</v>
      </c>
      <c r="H347" s="13">
        <v>99</v>
      </c>
      <c r="I347" s="13">
        <v>262</v>
      </c>
      <c r="J347" s="13">
        <v>361</v>
      </c>
      <c r="K347" s="14">
        <v>9.3739999999999994E-5</v>
      </c>
    </row>
    <row r="348" spans="1:11" ht="200" customHeight="1" x14ac:dyDescent="0.15">
      <c r="A348" s="9">
        <v>19</v>
      </c>
      <c r="B348" s="10" t="s">
        <v>1040</v>
      </c>
      <c r="C348" s="11" t="s">
        <v>1041</v>
      </c>
      <c r="D348" s="11" t="s">
        <v>1042</v>
      </c>
      <c r="E348" s="13">
        <v>16</v>
      </c>
      <c r="F348" s="13">
        <v>16</v>
      </c>
      <c r="G348" s="7">
        <f t="shared" si="5"/>
        <v>1</v>
      </c>
      <c r="H348" s="13">
        <v>86</v>
      </c>
      <c r="I348" s="13">
        <v>222</v>
      </c>
      <c r="J348" s="13">
        <v>308</v>
      </c>
      <c r="K348" s="13">
        <v>1.8799999999999999E-4</v>
      </c>
    </row>
    <row r="349" spans="1:11" ht="188" customHeight="1" x14ac:dyDescent="0.15">
      <c r="A349" s="9">
        <v>6187</v>
      </c>
      <c r="B349" s="10" t="s">
        <v>1043</v>
      </c>
      <c r="C349" s="11" t="s">
        <v>1044</v>
      </c>
      <c r="D349" s="11" t="s">
        <v>1045</v>
      </c>
      <c r="E349" s="13">
        <v>8900</v>
      </c>
      <c r="F349" s="13">
        <v>8900</v>
      </c>
      <c r="G349" s="7">
        <f t="shared" si="5"/>
        <v>1</v>
      </c>
      <c r="H349" s="13">
        <v>59</v>
      </c>
      <c r="I349" s="13">
        <v>184</v>
      </c>
      <c r="J349" s="13">
        <v>243</v>
      </c>
      <c r="K349" s="14">
        <v>6.478E-5</v>
      </c>
    </row>
    <row r="350" spans="1:11" ht="224" customHeight="1" x14ac:dyDescent="0.15">
      <c r="A350" s="9">
        <v>908</v>
      </c>
      <c r="B350" s="10" t="s">
        <v>1046</v>
      </c>
      <c r="C350" s="11" t="s">
        <v>1047</v>
      </c>
      <c r="D350" s="11" t="s">
        <v>1048</v>
      </c>
      <c r="E350" s="13">
        <v>144000</v>
      </c>
      <c r="F350" s="13">
        <v>144000</v>
      </c>
      <c r="G350" s="7">
        <f t="shared" si="5"/>
        <v>1</v>
      </c>
      <c r="H350" s="13">
        <v>76</v>
      </c>
      <c r="I350" s="13">
        <v>254</v>
      </c>
      <c r="J350" s="13">
        <v>330</v>
      </c>
      <c r="K350" s="13">
        <v>1.1186E-4</v>
      </c>
    </row>
    <row r="351" spans="1:11" ht="260" customHeight="1" x14ac:dyDescent="0.15">
      <c r="A351" s="9">
        <v>5635</v>
      </c>
      <c r="B351" s="10" t="s">
        <v>1049</v>
      </c>
      <c r="C351" s="11" t="s">
        <v>1050</v>
      </c>
      <c r="D351" s="11" t="s">
        <v>1051</v>
      </c>
      <c r="E351" s="13">
        <v>20</v>
      </c>
      <c r="F351" s="13">
        <v>20</v>
      </c>
      <c r="G351" s="7">
        <f t="shared" si="5"/>
        <v>1</v>
      </c>
      <c r="H351" s="13">
        <v>84</v>
      </c>
      <c r="I351" s="13">
        <v>266</v>
      </c>
      <c r="J351" s="13">
        <v>350</v>
      </c>
      <c r="K351" s="13">
        <v>2.2049999999999999E-4</v>
      </c>
    </row>
    <row r="352" spans="1:11" ht="44" customHeight="1" x14ac:dyDescent="0.15">
      <c r="A352" s="9">
        <v>6583</v>
      </c>
      <c r="B352" s="10" t="s">
        <v>1052</v>
      </c>
      <c r="C352" s="11" t="s">
        <v>1053</v>
      </c>
      <c r="D352" s="11" t="s">
        <v>1054</v>
      </c>
      <c r="E352" s="12">
        <v>2750</v>
      </c>
      <c r="F352" s="13">
        <v>2750</v>
      </c>
      <c r="G352" s="7">
        <f t="shared" si="5"/>
        <v>1</v>
      </c>
      <c r="H352" s="13">
        <v>56</v>
      </c>
      <c r="I352" s="13">
        <v>5</v>
      </c>
      <c r="J352" s="13">
        <v>61</v>
      </c>
      <c r="K352" s="17">
        <v>7.1999999999999997E-6</v>
      </c>
    </row>
    <row r="353" spans="1:11" ht="176" customHeight="1" x14ac:dyDescent="0.15">
      <c r="A353" s="9">
        <v>835</v>
      </c>
      <c r="B353" s="10" t="s">
        <v>1055</v>
      </c>
      <c r="C353" s="11" t="s">
        <v>1056</v>
      </c>
      <c r="D353" s="11" t="s">
        <v>1057</v>
      </c>
      <c r="E353" s="13">
        <v>400</v>
      </c>
      <c r="F353" s="13">
        <v>300</v>
      </c>
      <c r="G353" s="7">
        <f t="shared" si="5"/>
        <v>0</v>
      </c>
      <c r="H353" s="13">
        <v>110</v>
      </c>
      <c r="I353" s="13">
        <v>186</v>
      </c>
      <c r="J353" s="13">
        <v>296</v>
      </c>
      <c r="K353" s="14">
        <v>7.0519999999999996E-5</v>
      </c>
    </row>
    <row r="354" spans="1:11" ht="296" customHeight="1" x14ac:dyDescent="0.15">
      <c r="A354" s="9">
        <v>3182</v>
      </c>
      <c r="B354" s="10" t="s">
        <v>1058</v>
      </c>
      <c r="C354" s="11" t="s">
        <v>1059</v>
      </c>
      <c r="D354" s="11" t="s">
        <v>1060</v>
      </c>
      <c r="E354" s="13">
        <v>960</v>
      </c>
      <c r="F354" s="13">
        <v>960</v>
      </c>
      <c r="G354" s="7">
        <f t="shared" si="5"/>
        <v>1</v>
      </c>
      <c r="H354" s="13">
        <v>101</v>
      </c>
      <c r="I354" s="13">
        <v>387</v>
      </c>
      <c r="J354" s="13">
        <v>488</v>
      </c>
      <c r="K354" s="13">
        <v>1.3394000000000001E-4</v>
      </c>
    </row>
    <row r="355" spans="1:11" ht="224" customHeight="1" x14ac:dyDescent="0.15">
      <c r="A355" s="9">
        <v>239</v>
      </c>
      <c r="B355" s="10" t="s">
        <v>1061</v>
      </c>
      <c r="C355" s="11" t="s">
        <v>1062</v>
      </c>
      <c r="D355" s="11" t="s">
        <v>1063</v>
      </c>
      <c r="E355" s="13">
        <v>3</v>
      </c>
      <c r="F355" s="13">
        <v>3</v>
      </c>
      <c r="G355" s="7">
        <f t="shared" si="5"/>
        <v>1</v>
      </c>
      <c r="H355" s="13">
        <v>100</v>
      </c>
      <c r="I355" s="13">
        <v>232</v>
      </c>
      <c r="J355" s="13">
        <v>332</v>
      </c>
      <c r="K355" s="13">
        <v>1.9900000000000001E-4</v>
      </c>
    </row>
    <row r="356" spans="1:11" ht="44" customHeight="1" x14ac:dyDescent="0.15">
      <c r="A356" s="9">
        <v>2304</v>
      </c>
      <c r="B356" s="10" t="s">
        <v>1064</v>
      </c>
      <c r="C356" s="11" t="s">
        <v>1065</v>
      </c>
      <c r="D356" s="11" t="s">
        <v>1066</v>
      </c>
      <c r="E356" s="13">
        <v>97</v>
      </c>
      <c r="F356" s="13">
        <v>97</v>
      </c>
      <c r="G356" s="7">
        <f t="shared" si="5"/>
        <v>1</v>
      </c>
      <c r="H356" s="13">
        <v>77</v>
      </c>
      <c r="I356" s="13">
        <v>4</v>
      </c>
      <c r="J356" s="13">
        <v>81</v>
      </c>
      <c r="K356" s="14">
        <v>1.588E-5</v>
      </c>
    </row>
    <row r="357" spans="1:11" ht="176" customHeight="1" x14ac:dyDescent="0.15">
      <c r="A357" s="9">
        <v>1429</v>
      </c>
      <c r="B357" s="10" t="s">
        <v>1067</v>
      </c>
      <c r="C357" s="11" t="s">
        <v>1068</v>
      </c>
      <c r="D357" s="11" t="s">
        <v>1069</v>
      </c>
      <c r="E357" s="13">
        <v>20</v>
      </c>
      <c r="F357" s="13">
        <v>20</v>
      </c>
      <c r="G357" s="7">
        <f t="shared" si="5"/>
        <v>1</v>
      </c>
      <c r="H357" s="13">
        <v>87</v>
      </c>
      <c r="I357" s="13">
        <v>172</v>
      </c>
      <c r="J357" s="13">
        <v>259</v>
      </c>
      <c r="K357" s="14">
        <v>6.3739999999999996E-5</v>
      </c>
    </row>
    <row r="358" spans="1:11" ht="236" customHeight="1" x14ac:dyDescent="0.15">
      <c r="A358" s="9">
        <v>6078</v>
      </c>
      <c r="B358" s="10" t="s">
        <v>1070</v>
      </c>
      <c r="C358" s="11" t="s">
        <v>1071</v>
      </c>
      <c r="D358" s="11" t="s">
        <v>1072</v>
      </c>
      <c r="E358" s="13">
        <v>315</v>
      </c>
      <c r="F358" s="13">
        <v>315</v>
      </c>
      <c r="G358" s="7">
        <f t="shared" si="5"/>
        <v>1</v>
      </c>
      <c r="H358" s="13">
        <v>112</v>
      </c>
      <c r="I358" s="13">
        <v>219</v>
      </c>
      <c r="J358" s="13">
        <v>331</v>
      </c>
      <c r="K358" s="14">
        <v>8.1279999999999994E-5</v>
      </c>
    </row>
    <row r="359" spans="1:11" ht="152" customHeight="1" x14ac:dyDescent="0.15">
      <c r="A359" s="9">
        <v>586</v>
      </c>
      <c r="B359" s="10" t="s">
        <v>1073</v>
      </c>
      <c r="C359" s="11" t="s">
        <v>1074</v>
      </c>
      <c r="D359" s="11" t="s">
        <v>1075</v>
      </c>
      <c r="E359" s="13">
        <v>32</v>
      </c>
      <c r="F359" s="13">
        <v>32</v>
      </c>
      <c r="G359" s="7">
        <f t="shared" si="5"/>
        <v>1</v>
      </c>
      <c r="H359" s="13">
        <v>106</v>
      </c>
      <c r="I359" s="13">
        <v>130</v>
      </c>
      <c r="J359" s="13">
        <v>236</v>
      </c>
      <c r="K359" s="16">
        <v>8.5599999999999994E-5</v>
      </c>
    </row>
    <row r="360" spans="1:11" ht="260" customHeight="1" x14ac:dyDescent="0.15">
      <c r="A360" s="9">
        <v>3458</v>
      </c>
      <c r="B360" s="10" t="s">
        <v>1076</v>
      </c>
      <c r="C360" s="11" t="s">
        <v>1077</v>
      </c>
      <c r="D360" s="11" t="s">
        <v>1078</v>
      </c>
      <c r="E360" s="13">
        <v>936</v>
      </c>
      <c r="F360" s="13">
        <v>936</v>
      </c>
      <c r="G360" s="7">
        <f t="shared" si="5"/>
        <v>1</v>
      </c>
      <c r="H360" s="13">
        <v>75</v>
      </c>
      <c r="I360" s="13">
        <v>259</v>
      </c>
      <c r="J360" s="13">
        <v>334</v>
      </c>
      <c r="K360" s="13">
        <v>1.4647999999999999E-4</v>
      </c>
    </row>
    <row r="361" spans="1:11" ht="296" customHeight="1" x14ac:dyDescent="0.15">
      <c r="A361" s="9">
        <v>1103</v>
      </c>
      <c r="B361" s="10" t="s">
        <v>1079</v>
      </c>
      <c r="C361" s="11" t="s">
        <v>1080</v>
      </c>
      <c r="D361" s="11" t="s">
        <v>1081</v>
      </c>
      <c r="E361" s="13">
        <v>6</v>
      </c>
      <c r="F361" s="13">
        <v>6</v>
      </c>
      <c r="G361" s="7">
        <f t="shared" si="5"/>
        <v>1</v>
      </c>
      <c r="H361" s="13">
        <v>94</v>
      </c>
      <c r="I361" s="13">
        <v>338</v>
      </c>
      <c r="J361" s="13">
        <v>432</v>
      </c>
      <c r="K361" s="13">
        <v>1.1756000000000001E-4</v>
      </c>
    </row>
    <row r="362" spans="1:11" ht="188" customHeight="1" x14ac:dyDescent="0.15">
      <c r="A362" s="9">
        <v>3614</v>
      </c>
      <c r="B362" s="10" t="s">
        <v>1082</v>
      </c>
      <c r="C362" s="11" t="s">
        <v>1083</v>
      </c>
      <c r="D362" s="11" t="s">
        <v>1084</v>
      </c>
      <c r="E362" s="13">
        <v>900</v>
      </c>
      <c r="F362" s="13">
        <v>900</v>
      </c>
      <c r="G362" s="7">
        <f t="shared" si="5"/>
        <v>1</v>
      </c>
      <c r="H362" s="13">
        <v>90</v>
      </c>
      <c r="I362" s="13">
        <v>172</v>
      </c>
      <c r="J362" s="13">
        <v>262</v>
      </c>
      <c r="K362" s="14">
        <v>8.0950000000000003E-5</v>
      </c>
    </row>
    <row r="363" spans="1:11" ht="116" customHeight="1" x14ac:dyDescent="0.15">
      <c r="A363" s="9">
        <v>4960</v>
      </c>
      <c r="B363" s="10" t="s">
        <v>1085</v>
      </c>
      <c r="C363" s="11" t="s">
        <v>1086</v>
      </c>
      <c r="D363" s="11" t="s">
        <v>1087</v>
      </c>
      <c r="E363" s="13">
        <v>4</v>
      </c>
      <c r="F363" s="13">
        <v>4</v>
      </c>
      <c r="G363" s="7">
        <f t="shared" si="5"/>
        <v>1</v>
      </c>
      <c r="H363" s="13">
        <v>84</v>
      </c>
      <c r="I363" s="13">
        <v>117</v>
      </c>
      <c r="J363" s="13">
        <v>201</v>
      </c>
      <c r="K363" s="14">
        <v>4.5840000000000002E-5</v>
      </c>
    </row>
    <row r="364" spans="1:11" ht="44" customHeight="1" x14ac:dyDescent="0.15">
      <c r="A364" s="9">
        <v>308</v>
      </c>
      <c r="B364" s="10" t="s">
        <v>1088</v>
      </c>
      <c r="C364" s="11" t="s">
        <v>1089</v>
      </c>
      <c r="D364" s="11" t="s">
        <v>440</v>
      </c>
      <c r="E364" s="21">
        <v>60</v>
      </c>
      <c r="F364" s="13">
        <v>60</v>
      </c>
      <c r="G364" s="7">
        <f t="shared" si="5"/>
        <v>1</v>
      </c>
      <c r="H364" s="13">
        <v>67</v>
      </c>
      <c r="I364" s="13">
        <v>4</v>
      </c>
      <c r="J364" s="13">
        <v>71</v>
      </c>
      <c r="K364" s="16">
        <v>7.9799999999999998E-6</v>
      </c>
    </row>
    <row r="365" spans="1:11" ht="380" customHeight="1" x14ac:dyDescent="0.15">
      <c r="A365" s="9">
        <v>5367</v>
      </c>
      <c r="B365" s="10" t="s">
        <v>1090</v>
      </c>
      <c r="C365" s="11" t="s">
        <v>1091</v>
      </c>
      <c r="D365" s="11" t="s">
        <v>1092</v>
      </c>
      <c r="E365" s="13">
        <v>95</v>
      </c>
      <c r="F365" s="13">
        <v>95</v>
      </c>
      <c r="G365" s="7">
        <f t="shared" si="5"/>
        <v>1</v>
      </c>
      <c r="H365" s="13">
        <v>120</v>
      </c>
      <c r="I365" s="13">
        <v>438</v>
      </c>
      <c r="J365" s="13">
        <v>558</v>
      </c>
      <c r="K365" s="13">
        <v>2.454E-4</v>
      </c>
    </row>
    <row r="366" spans="1:11" ht="248" customHeight="1" x14ac:dyDescent="0.15">
      <c r="A366" s="9">
        <v>6409</v>
      </c>
      <c r="B366" s="10" t="s">
        <v>1093</v>
      </c>
      <c r="C366" s="11" t="s">
        <v>1094</v>
      </c>
      <c r="D366" s="11" t="s">
        <v>1095</v>
      </c>
      <c r="E366" s="13">
        <v>180</v>
      </c>
      <c r="F366" s="13">
        <v>90</v>
      </c>
      <c r="G366" s="7">
        <f t="shared" si="5"/>
        <v>0</v>
      </c>
      <c r="H366" s="13">
        <v>84</v>
      </c>
      <c r="I366" s="13">
        <v>226</v>
      </c>
      <c r="J366" s="13">
        <v>310</v>
      </c>
      <c r="K366" s="13">
        <v>1.3271999999999999E-4</v>
      </c>
    </row>
    <row r="367" spans="1:11" ht="212" customHeight="1" x14ac:dyDescent="0.15">
      <c r="A367" s="9">
        <v>7069</v>
      </c>
      <c r="B367" s="10" t="s">
        <v>1096</v>
      </c>
      <c r="C367" s="11" t="s">
        <v>1097</v>
      </c>
      <c r="D367" s="11" t="s">
        <v>1098</v>
      </c>
      <c r="E367" s="13">
        <v>23</v>
      </c>
      <c r="F367" s="13">
        <v>23</v>
      </c>
      <c r="G367" s="7">
        <f t="shared" si="5"/>
        <v>1</v>
      </c>
      <c r="H367" s="13">
        <v>113</v>
      </c>
      <c r="I367" s="13">
        <v>248</v>
      </c>
      <c r="J367" s="13">
        <v>361</v>
      </c>
      <c r="K367" s="14">
        <v>9.0660000000000003E-5</v>
      </c>
    </row>
    <row r="368" spans="1:11" ht="92" customHeight="1" x14ac:dyDescent="0.15">
      <c r="A368" s="9">
        <v>4316</v>
      </c>
      <c r="B368" s="10" t="s">
        <v>1099</v>
      </c>
      <c r="C368" s="11" t="s">
        <v>1100</v>
      </c>
      <c r="D368" s="11" t="s">
        <v>1101</v>
      </c>
      <c r="E368" s="12">
        <v>26400</v>
      </c>
      <c r="F368" s="13">
        <v>26400</v>
      </c>
      <c r="G368" s="7">
        <f t="shared" si="5"/>
        <v>1</v>
      </c>
      <c r="H368" s="13">
        <v>80</v>
      </c>
      <c r="I368" s="13">
        <v>56</v>
      </c>
      <c r="J368" s="13">
        <v>136</v>
      </c>
      <c r="K368" s="14">
        <v>2.5919999999999999E-5</v>
      </c>
    </row>
    <row r="369" spans="1:11" ht="164" customHeight="1" x14ac:dyDescent="0.15">
      <c r="A369" s="9">
        <v>503</v>
      </c>
      <c r="B369" s="10" t="s">
        <v>1102</v>
      </c>
      <c r="C369" s="11" t="s">
        <v>1103</v>
      </c>
      <c r="D369" s="11" t="s">
        <v>1104</v>
      </c>
      <c r="E369" s="13">
        <v>20</v>
      </c>
      <c r="F369" s="13">
        <v>20</v>
      </c>
      <c r="G369" s="7">
        <f t="shared" si="5"/>
        <v>1</v>
      </c>
      <c r="H369" s="13">
        <v>88</v>
      </c>
      <c r="I369" s="13">
        <v>180</v>
      </c>
      <c r="J369" s="13">
        <v>268</v>
      </c>
      <c r="K369" s="13">
        <v>1.0936E-4</v>
      </c>
    </row>
    <row r="370" spans="1:11" ht="176" customHeight="1" x14ac:dyDescent="0.15">
      <c r="A370" s="9">
        <v>4781</v>
      </c>
      <c r="B370" s="10" t="s">
        <v>1105</v>
      </c>
      <c r="C370" s="11" t="s">
        <v>1106</v>
      </c>
      <c r="D370" s="11" t="s">
        <v>1107</v>
      </c>
      <c r="E370" s="13">
        <v>1</v>
      </c>
      <c r="F370" s="13">
        <v>1</v>
      </c>
      <c r="G370" s="7">
        <f t="shared" si="5"/>
        <v>1</v>
      </c>
      <c r="H370" s="13">
        <v>63</v>
      </c>
      <c r="I370" s="13">
        <v>196</v>
      </c>
      <c r="J370" s="13">
        <v>259</v>
      </c>
      <c r="K370" s="14">
        <v>6.902E-5</v>
      </c>
    </row>
    <row r="371" spans="1:11" ht="272" customHeight="1" x14ac:dyDescent="0.15">
      <c r="A371" s="9">
        <v>3071</v>
      </c>
      <c r="B371" s="10" t="s">
        <v>1108</v>
      </c>
      <c r="C371" s="11" t="s">
        <v>1109</v>
      </c>
      <c r="D371" s="11" t="s">
        <v>1110</v>
      </c>
      <c r="E371" s="13">
        <v>5</v>
      </c>
      <c r="F371" s="13">
        <v>5</v>
      </c>
      <c r="G371" s="7">
        <f t="shared" si="5"/>
        <v>1</v>
      </c>
      <c r="H371" s="13">
        <v>84</v>
      </c>
      <c r="I371" s="13">
        <v>219</v>
      </c>
      <c r="J371" s="13">
        <v>303</v>
      </c>
      <c r="K371" s="14">
        <v>9.8939999999999998E-5</v>
      </c>
    </row>
    <row r="372" spans="1:11" ht="104" customHeight="1" x14ac:dyDescent="0.15">
      <c r="A372" s="9">
        <v>4629</v>
      </c>
      <c r="B372" s="10" t="s">
        <v>1111</v>
      </c>
      <c r="C372" s="11" t="s">
        <v>1112</v>
      </c>
      <c r="D372" s="11" t="s">
        <v>1113</v>
      </c>
      <c r="E372" s="13">
        <v>2</v>
      </c>
      <c r="F372" s="13">
        <v>2</v>
      </c>
      <c r="G372" s="7">
        <f t="shared" si="5"/>
        <v>1</v>
      </c>
      <c r="H372" s="13">
        <v>47</v>
      </c>
      <c r="I372" s="13">
        <v>78</v>
      </c>
      <c r="J372" s="13">
        <v>125</v>
      </c>
      <c r="K372" s="14">
        <v>2.9660000000000001E-5</v>
      </c>
    </row>
    <row r="373" spans="1:11" ht="164" customHeight="1" x14ac:dyDescent="0.15">
      <c r="A373" s="9">
        <v>3621</v>
      </c>
      <c r="B373" s="10" t="s">
        <v>1114</v>
      </c>
      <c r="C373" s="11" t="s">
        <v>1115</v>
      </c>
      <c r="D373" s="11" t="s">
        <v>1116</v>
      </c>
      <c r="E373" s="13">
        <v>7600</v>
      </c>
      <c r="F373" s="13">
        <v>7600</v>
      </c>
      <c r="G373" s="7">
        <f t="shared" si="5"/>
        <v>1</v>
      </c>
      <c r="H373" s="13">
        <v>77</v>
      </c>
      <c r="I373" s="13">
        <v>176</v>
      </c>
      <c r="J373" s="13">
        <v>253</v>
      </c>
      <c r="K373" s="13">
        <v>1.7963000000000001E-4</v>
      </c>
    </row>
    <row r="374" spans="1:11" ht="116" customHeight="1" x14ac:dyDescent="0.15">
      <c r="A374" s="9">
        <v>683</v>
      </c>
      <c r="B374" s="10" t="s">
        <v>1117</v>
      </c>
      <c r="C374" s="11" t="s">
        <v>1118</v>
      </c>
      <c r="D374" s="11" t="s">
        <v>1119</v>
      </c>
      <c r="E374" s="13">
        <v>15</v>
      </c>
      <c r="F374" s="13">
        <v>15</v>
      </c>
      <c r="G374" s="7">
        <f t="shared" si="5"/>
        <v>1</v>
      </c>
      <c r="H374" s="13">
        <v>88</v>
      </c>
      <c r="I374" s="13">
        <v>95</v>
      </c>
      <c r="J374" s="13">
        <v>183</v>
      </c>
      <c r="K374" s="13">
        <v>1.2697000000000001E-4</v>
      </c>
    </row>
    <row r="375" spans="1:11" ht="176" customHeight="1" x14ac:dyDescent="0.15">
      <c r="A375" s="9">
        <v>4482</v>
      </c>
      <c r="B375" s="10" t="s">
        <v>1120</v>
      </c>
      <c r="C375" s="11" t="s">
        <v>1121</v>
      </c>
      <c r="D375" s="11" t="s">
        <v>1122</v>
      </c>
      <c r="E375" s="12">
        <v>3</v>
      </c>
      <c r="F375" s="13">
        <v>3</v>
      </c>
      <c r="G375" s="7">
        <f t="shared" si="5"/>
        <v>1</v>
      </c>
      <c r="H375" s="13">
        <v>85</v>
      </c>
      <c r="I375" s="13">
        <v>190</v>
      </c>
      <c r="J375" s="13">
        <v>275</v>
      </c>
      <c r="K375" s="16">
        <v>6.9300000000000004E-5</v>
      </c>
    </row>
    <row r="376" spans="1:11" ht="56" customHeight="1" x14ac:dyDescent="0.15">
      <c r="A376" s="9">
        <v>3819</v>
      </c>
      <c r="B376" s="10" t="s">
        <v>1123</v>
      </c>
      <c r="C376" s="11" t="s">
        <v>1124</v>
      </c>
      <c r="D376" s="11" t="s">
        <v>1125</v>
      </c>
      <c r="E376" s="13">
        <v>37</v>
      </c>
      <c r="F376" s="13">
        <v>37</v>
      </c>
      <c r="G376" s="7">
        <f t="shared" si="5"/>
        <v>1</v>
      </c>
      <c r="H376" s="13">
        <v>106</v>
      </c>
      <c r="I376" s="13">
        <v>4</v>
      </c>
      <c r="J376" s="13">
        <v>110</v>
      </c>
      <c r="K376" s="14">
        <v>2.5320000000000002E-5</v>
      </c>
    </row>
    <row r="377" spans="1:11" ht="188" customHeight="1" x14ac:dyDescent="0.15">
      <c r="A377" s="9">
        <v>2063</v>
      </c>
      <c r="B377" s="10" t="s">
        <v>1126</v>
      </c>
      <c r="C377" s="11" t="s">
        <v>1127</v>
      </c>
      <c r="D377" s="11" t="s">
        <v>1128</v>
      </c>
      <c r="E377" s="13">
        <v>200</v>
      </c>
      <c r="F377" s="13">
        <v>200</v>
      </c>
      <c r="G377" s="7">
        <f t="shared" si="5"/>
        <v>1</v>
      </c>
      <c r="H377" s="13">
        <v>131</v>
      </c>
      <c r="I377" s="13">
        <v>221</v>
      </c>
      <c r="J377" s="13">
        <v>352</v>
      </c>
      <c r="K377" s="14">
        <v>8.3819999999999994E-5</v>
      </c>
    </row>
    <row r="378" spans="1:11" ht="200" customHeight="1" x14ac:dyDescent="0.15">
      <c r="A378" s="9">
        <v>7057</v>
      </c>
      <c r="B378" s="10" t="s">
        <v>1129</v>
      </c>
      <c r="C378" s="11" t="s">
        <v>1130</v>
      </c>
      <c r="D378" s="11" t="s">
        <v>1131</v>
      </c>
      <c r="E378" s="13">
        <v>12</v>
      </c>
      <c r="F378" s="13">
        <v>12</v>
      </c>
      <c r="G378" s="7">
        <f t="shared" si="5"/>
        <v>1</v>
      </c>
      <c r="H378" s="13">
        <v>92</v>
      </c>
      <c r="I378" s="13">
        <v>206</v>
      </c>
      <c r="J378" s="13">
        <v>298</v>
      </c>
      <c r="K378" s="14">
        <v>9.4820000000000004E-5</v>
      </c>
    </row>
    <row r="379" spans="1:11" ht="128" customHeight="1" x14ac:dyDescent="0.15">
      <c r="A379" s="9">
        <v>1515</v>
      </c>
      <c r="B379" s="10" t="s">
        <v>1132</v>
      </c>
      <c r="C379" s="11" t="s">
        <v>1133</v>
      </c>
      <c r="D379" s="11" t="s">
        <v>1134</v>
      </c>
      <c r="E379" s="13">
        <v>159</v>
      </c>
      <c r="F379" s="13">
        <v>159</v>
      </c>
      <c r="G379" s="7">
        <f t="shared" si="5"/>
        <v>1</v>
      </c>
      <c r="H379" s="13">
        <v>60</v>
      </c>
      <c r="I379" s="13">
        <v>92</v>
      </c>
      <c r="J379" s="13">
        <v>152</v>
      </c>
      <c r="K379" s="16">
        <v>4.49E-5</v>
      </c>
    </row>
    <row r="380" spans="1:11" ht="236" customHeight="1" x14ac:dyDescent="0.15">
      <c r="A380" s="9">
        <v>800</v>
      </c>
      <c r="B380" s="10" t="s">
        <v>1135</v>
      </c>
      <c r="C380" s="11" t="s">
        <v>1136</v>
      </c>
      <c r="D380" s="11" t="s">
        <v>1137</v>
      </c>
      <c r="E380" s="13">
        <v>3</v>
      </c>
      <c r="F380" s="13">
        <v>3</v>
      </c>
      <c r="G380" s="7">
        <f t="shared" si="5"/>
        <v>1</v>
      </c>
      <c r="H380" s="13">
        <v>107</v>
      </c>
      <c r="I380" s="13">
        <v>214</v>
      </c>
      <c r="J380" s="13">
        <v>321</v>
      </c>
      <c r="K380" s="13">
        <v>1.00045E-4</v>
      </c>
    </row>
    <row r="381" spans="1:11" ht="188" customHeight="1" x14ac:dyDescent="0.15">
      <c r="A381" s="9">
        <v>1755</v>
      </c>
      <c r="B381" s="10" t="s">
        <v>1138</v>
      </c>
      <c r="C381" s="11" t="s">
        <v>1139</v>
      </c>
      <c r="D381" s="11" t="s">
        <v>1140</v>
      </c>
      <c r="E381" s="13">
        <v>5</v>
      </c>
      <c r="F381" s="13">
        <v>5</v>
      </c>
      <c r="G381" s="7">
        <f t="shared" si="5"/>
        <v>1</v>
      </c>
      <c r="H381" s="13">
        <v>84</v>
      </c>
      <c r="I381" s="13">
        <v>212</v>
      </c>
      <c r="J381" s="13">
        <v>296</v>
      </c>
      <c r="K381" s="14">
        <v>9.6139999999999998E-5</v>
      </c>
    </row>
    <row r="382" spans="1:11" ht="188" customHeight="1" x14ac:dyDescent="0.15">
      <c r="A382" s="9">
        <v>6309</v>
      </c>
      <c r="B382" s="10" t="s">
        <v>1141</v>
      </c>
      <c r="C382" s="11" t="s">
        <v>1142</v>
      </c>
      <c r="D382" s="11" t="s">
        <v>1143</v>
      </c>
      <c r="E382" s="13">
        <v>15</v>
      </c>
      <c r="F382" s="13">
        <v>15</v>
      </c>
      <c r="G382" s="7">
        <f t="shared" si="5"/>
        <v>1</v>
      </c>
      <c r="H382" s="13">
        <v>93</v>
      </c>
      <c r="I382" s="13">
        <v>200</v>
      </c>
      <c r="J382" s="13">
        <v>293</v>
      </c>
      <c r="K382" s="16">
        <v>7.3300000000000006E-5</v>
      </c>
    </row>
    <row r="383" spans="1:11" ht="272" customHeight="1" x14ac:dyDescent="0.15">
      <c r="A383" s="9">
        <v>7439</v>
      </c>
      <c r="B383" s="10" t="s">
        <v>1144</v>
      </c>
      <c r="C383" s="11" t="s">
        <v>1145</v>
      </c>
      <c r="D383" s="11" t="s">
        <v>1146</v>
      </c>
      <c r="E383" s="13">
        <v>78</v>
      </c>
      <c r="F383" s="13">
        <v>78</v>
      </c>
      <c r="G383" s="7">
        <f t="shared" si="5"/>
        <v>1</v>
      </c>
      <c r="H383" s="13">
        <v>66</v>
      </c>
      <c r="I383" s="13">
        <v>271</v>
      </c>
      <c r="J383" s="13">
        <v>337</v>
      </c>
      <c r="K383" s="14">
        <v>9.3319999999999994E-5</v>
      </c>
    </row>
    <row r="384" spans="1:11" ht="200" customHeight="1" x14ac:dyDescent="0.15">
      <c r="A384" s="9">
        <v>1807</v>
      </c>
      <c r="B384" s="10" t="s">
        <v>1147</v>
      </c>
      <c r="C384" s="11" t="s">
        <v>1148</v>
      </c>
      <c r="D384" s="11" t="s">
        <v>1149</v>
      </c>
      <c r="E384" s="13">
        <v>32</v>
      </c>
      <c r="F384" s="13">
        <v>32</v>
      </c>
      <c r="G384" s="7">
        <f t="shared" si="5"/>
        <v>1</v>
      </c>
      <c r="H384" s="13">
        <v>99</v>
      </c>
      <c r="I384" s="13">
        <v>170</v>
      </c>
      <c r="J384" s="13">
        <v>269</v>
      </c>
      <c r="K384" s="13">
        <v>4.1201699999999998E-4</v>
      </c>
    </row>
    <row r="385" spans="1:11" ht="56" customHeight="1" x14ac:dyDescent="0.15">
      <c r="A385" s="9">
        <v>7317</v>
      </c>
      <c r="B385" s="10" t="s">
        <v>1150</v>
      </c>
      <c r="C385" s="11" t="s">
        <v>1151</v>
      </c>
      <c r="D385" s="11" t="s">
        <v>1152</v>
      </c>
      <c r="E385" s="13">
        <v>38</v>
      </c>
      <c r="F385" s="13">
        <v>38</v>
      </c>
      <c r="G385" s="7">
        <f t="shared" si="5"/>
        <v>1</v>
      </c>
      <c r="H385" s="13">
        <v>80</v>
      </c>
      <c r="I385" s="13">
        <v>5</v>
      </c>
      <c r="J385" s="13">
        <v>85</v>
      </c>
      <c r="K385" s="17">
        <v>9.5999999999999996E-6</v>
      </c>
    </row>
    <row r="386" spans="1:11" ht="176" customHeight="1" x14ac:dyDescent="0.15">
      <c r="A386" s="9">
        <v>4680</v>
      </c>
      <c r="B386" s="10" t="s">
        <v>1153</v>
      </c>
      <c r="C386" s="11" t="s">
        <v>1154</v>
      </c>
      <c r="D386" s="11" t="s">
        <v>1155</v>
      </c>
      <c r="E386" s="12"/>
      <c r="F386" s="13">
        <v>56</v>
      </c>
      <c r="G386" s="7">
        <f t="shared" si="5"/>
        <v>0</v>
      </c>
      <c r="H386" s="13">
        <v>71</v>
      </c>
      <c r="I386" s="13">
        <v>186</v>
      </c>
      <c r="J386" s="13">
        <v>257</v>
      </c>
      <c r="K386" s="14">
        <v>6.6619999999999996E-5</v>
      </c>
    </row>
    <row r="387" spans="1:11" ht="152" customHeight="1" x14ac:dyDescent="0.15">
      <c r="A387" s="9">
        <v>1181</v>
      </c>
      <c r="B387" s="10" t="s">
        <v>1156</v>
      </c>
      <c r="C387" s="11" t="s">
        <v>1157</v>
      </c>
      <c r="D387" s="11" t="s">
        <v>1158</v>
      </c>
      <c r="E387" s="12">
        <v>660</v>
      </c>
      <c r="F387" s="13">
        <v>660</v>
      </c>
      <c r="G387" s="7">
        <f t="shared" si="5"/>
        <v>1</v>
      </c>
      <c r="H387" s="13">
        <v>96</v>
      </c>
      <c r="I387" s="13">
        <v>156</v>
      </c>
      <c r="J387" s="13">
        <v>252</v>
      </c>
      <c r="K387" s="13">
        <v>1.4100000000000001E-4</v>
      </c>
    </row>
    <row r="388" spans="1:11" ht="176" customHeight="1" x14ac:dyDescent="0.15">
      <c r="A388" s="9">
        <v>773</v>
      </c>
      <c r="B388" s="10" t="s">
        <v>1159</v>
      </c>
      <c r="C388" s="11" t="s">
        <v>1160</v>
      </c>
      <c r="D388" s="11" t="s">
        <v>1161</v>
      </c>
      <c r="E388" s="13">
        <v>121</v>
      </c>
      <c r="F388" s="13">
        <v>121</v>
      </c>
      <c r="G388" s="7">
        <f t="shared" ref="G388:G451" si="6">IF(OR(ISBLANK(E388), ISBLANK(F388)), 0, IF(E388=F388, 1, 0))</f>
        <v>1</v>
      </c>
      <c r="H388" s="13">
        <v>74</v>
      </c>
      <c r="I388" s="13">
        <v>170</v>
      </c>
      <c r="J388" s="13">
        <v>244</v>
      </c>
      <c r="K388" s="16">
        <v>6.1799999999999998E-5</v>
      </c>
    </row>
    <row r="389" spans="1:11" ht="176" customHeight="1" x14ac:dyDescent="0.15">
      <c r="A389" s="9">
        <v>4857</v>
      </c>
      <c r="B389" s="10" t="s">
        <v>1162</v>
      </c>
      <c r="C389" s="11" t="s">
        <v>1163</v>
      </c>
      <c r="D389" s="11" t="s">
        <v>1164</v>
      </c>
      <c r="E389" s="13">
        <v>196</v>
      </c>
      <c r="F389" s="13">
        <v>196</v>
      </c>
      <c r="G389" s="7">
        <f t="shared" si="6"/>
        <v>1</v>
      </c>
      <c r="H389" s="13">
        <v>75</v>
      </c>
      <c r="I389" s="13">
        <v>232</v>
      </c>
      <c r="J389" s="13">
        <v>307</v>
      </c>
      <c r="K389" s="14">
        <v>8.174E-5</v>
      </c>
    </row>
    <row r="390" spans="1:11" ht="188" customHeight="1" x14ac:dyDescent="0.15">
      <c r="A390" s="9">
        <v>1731</v>
      </c>
      <c r="B390" s="10" t="s">
        <v>1165</v>
      </c>
      <c r="C390" s="11" t="s">
        <v>1166</v>
      </c>
      <c r="D390" s="11" t="s">
        <v>1167</v>
      </c>
      <c r="E390" s="13">
        <v>1</v>
      </c>
      <c r="F390" s="13">
        <v>1</v>
      </c>
      <c r="G390" s="7">
        <f t="shared" si="6"/>
        <v>1</v>
      </c>
      <c r="H390" s="13">
        <v>104</v>
      </c>
      <c r="I390" s="13">
        <v>226</v>
      </c>
      <c r="J390" s="13">
        <v>330</v>
      </c>
      <c r="K390" s="14">
        <v>8.2719999999999994E-5</v>
      </c>
    </row>
    <row r="391" spans="1:11" ht="140" customHeight="1" x14ac:dyDescent="0.15">
      <c r="A391" s="9">
        <v>3439</v>
      </c>
      <c r="B391" s="10" t="s">
        <v>1168</v>
      </c>
      <c r="C391" s="11" t="s">
        <v>1169</v>
      </c>
      <c r="D391" s="11" t="s">
        <v>1170</v>
      </c>
      <c r="E391" s="13">
        <v>20</v>
      </c>
      <c r="F391" s="13">
        <v>20</v>
      </c>
      <c r="G391" s="7">
        <f t="shared" si="6"/>
        <v>1</v>
      </c>
      <c r="H391" s="13">
        <v>70</v>
      </c>
      <c r="I391" s="13">
        <v>104</v>
      </c>
      <c r="J391" s="13">
        <v>174</v>
      </c>
      <c r="K391" s="14">
        <v>5.1050000000000001E-5</v>
      </c>
    </row>
    <row r="392" spans="1:11" ht="164" customHeight="1" x14ac:dyDescent="0.15">
      <c r="A392" s="9">
        <v>1850</v>
      </c>
      <c r="B392" s="10" t="s">
        <v>1171</v>
      </c>
      <c r="C392" s="11" t="s">
        <v>1172</v>
      </c>
      <c r="D392" s="11" t="s">
        <v>1173</v>
      </c>
      <c r="E392" s="13">
        <v>208</v>
      </c>
      <c r="F392" s="13">
        <v>208</v>
      </c>
      <c r="G392" s="7">
        <f t="shared" si="6"/>
        <v>1</v>
      </c>
      <c r="H392" s="13">
        <v>97</v>
      </c>
      <c r="I392" s="13">
        <v>188</v>
      </c>
      <c r="J392" s="13">
        <v>285</v>
      </c>
      <c r="K392" s="14">
        <v>6.9859999999999999E-5</v>
      </c>
    </row>
    <row r="393" spans="1:11" ht="188" customHeight="1" x14ac:dyDescent="0.15">
      <c r="A393" s="9">
        <v>2907</v>
      </c>
      <c r="B393" s="10" t="s">
        <v>1174</v>
      </c>
      <c r="C393" s="11" t="s">
        <v>1175</v>
      </c>
      <c r="D393" s="11" t="s">
        <v>1176</v>
      </c>
      <c r="E393" s="13">
        <v>105</v>
      </c>
      <c r="F393" s="13">
        <v>105</v>
      </c>
      <c r="G393" s="7">
        <f t="shared" si="6"/>
        <v>1</v>
      </c>
      <c r="H393" s="13">
        <v>50</v>
      </c>
      <c r="I393" s="13">
        <v>190</v>
      </c>
      <c r="J393" s="13">
        <v>240</v>
      </c>
      <c r="K393" s="16">
        <v>6.58E-5</v>
      </c>
    </row>
    <row r="394" spans="1:11" ht="56" customHeight="1" x14ac:dyDescent="0.15">
      <c r="A394" s="9">
        <v>7042</v>
      </c>
      <c r="B394" s="10" t="s">
        <v>1177</v>
      </c>
      <c r="C394" s="11" t="s">
        <v>1178</v>
      </c>
      <c r="D394" s="11" t="s">
        <v>1179</v>
      </c>
      <c r="E394" s="12">
        <v>35</v>
      </c>
      <c r="F394" s="13">
        <v>35</v>
      </c>
      <c r="G394" s="7">
        <f t="shared" si="6"/>
        <v>1</v>
      </c>
      <c r="H394" s="13">
        <v>52</v>
      </c>
      <c r="I394" s="13">
        <v>6</v>
      </c>
      <c r="J394" s="13">
        <v>58</v>
      </c>
      <c r="K394" s="16">
        <v>9.4199999999999996E-6</v>
      </c>
    </row>
    <row r="395" spans="1:11" ht="128" customHeight="1" x14ac:dyDescent="0.15">
      <c r="A395" s="9">
        <v>222</v>
      </c>
      <c r="B395" s="10" t="s">
        <v>1180</v>
      </c>
      <c r="C395" s="11" t="s">
        <v>1181</v>
      </c>
      <c r="D395" s="11" t="s">
        <v>1182</v>
      </c>
      <c r="E395" s="13">
        <v>59</v>
      </c>
      <c r="F395" s="13">
        <v>59</v>
      </c>
      <c r="G395" s="7">
        <f t="shared" si="6"/>
        <v>1</v>
      </c>
      <c r="H395" s="13">
        <v>76</v>
      </c>
      <c r="I395" s="13">
        <v>133</v>
      </c>
      <c r="J395" s="13">
        <v>209</v>
      </c>
      <c r="K395" s="14">
        <v>5.0160000000000001E-5</v>
      </c>
    </row>
    <row r="396" spans="1:11" ht="332" customHeight="1" x14ac:dyDescent="0.15">
      <c r="A396" s="9">
        <v>4518</v>
      </c>
      <c r="B396" s="10" t="s">
        <v>1183</v>
      </c>
      <c r="C396" s="11" t="s">
        <v>1184</v>
      </c>
      <c r="D396" s="11" t="s">
        <v>1185</v>
      </c>
      <c r="E396" s="13">
        <v>42</v>
      </c>
      <c r="F396" s="13">
        <v>42</v>
      </c>
      <c r="G396" s="7">
        <f t="shared" si="6"/>
        <v>1</v>
      </c>
      <c r="H396" s="13">
        <v>112</v>
      </c>
      <c r="I396" s="13">
        <v>388</v>
      </c>
      <c r="J396" s="13">
        <v>500</v>
      </c>
      <c r="K396" s="13">
        <v>3.19E-4</v>
      </c>
    </row>
    <row r="397" spans="1:11" ht="212" customHeight="1" x14ac:dyDescent="0.15">
      <c r="A397" s="9">
        <v>3977</v>
      </c>
      <c r="B397" s="10" t="s">
        <v>1186</v>
      </c>
      <c r="C397" s="11" t="s">
        <v>1187</v>
      </c>
      <c r="D397" s="11" t="s">
        <v>1188</v>
      </c>
      <c r="E397" s="13">
        <v>162</v>
      </c>
      <c r="F397" s="13">
        <v>162</v>
      </c>
      <c r="G397" s="7">
        <f t="shared" si="6"/>
        <v>1</v>
      </c>
      <c r="H397" s="13">
        <v>84</v>
      </c>
      <c r="I397" s="13">
        <v>248</v>
      </c>
      <c r="J397" s="13">
        <v>332</v>
      </c>
      <c r="K397" s="14">
        <v>8.776E-5</v>
      </c>
    </row>
    <row r="398" spans="1:11" ht="140" customHeight="1" x14ac:dyDescent="0.15">
      <c r="A398" s="9">
        <v>2020</v>
      </c>
      <c r="B398" s="10" t="s">
        <v>1189</v>
      </c>
      <c r="C398" s="11" t="s">
        <v>1190</v>
      </c>
      <c r="D398" s="11" t="s">
        <v>1191</v>
      </c>
      <c r="E398" s="12"/>
      <c r="F398" s="13">
        <v>240</v>
      </c>
      <c r="G398" s="7">
        <f t="shared" si="6"/>
        <v>0</v>
      </c>
      <c r="H398" s="13">
        <v>52</v>
      </c>
      <c r="I398" s="13">
        <v>155</v>
      </c>
      <c r="J398" s="13">
        <v>207</v>
      </c>
      <c r="K398" s="16">
        <v>5.4799999999999997E-5</v>
      </c>
    </row>
    <row r="399" spans="1:11" ht="56" customHeight="1" x14ac:dyDescent="0.15">
      <c r="A399" s="9">
        <v>642</v>
      </c>
      <c r="B399" s="10" t="s">
        <v>1192</v>
      </c>
      <c r="C399" s="11" t="s">
        <v>1193</v>
      </c>
      <c r="D399" s="11" t="s">
        <v>1194</v>
      </c>
      <c r="E399" s="12"/>
      <c r="F399" s="13">
        <v>15</v>
      </c>
      <c r="G399" s="7">
        <f t="shared" si="6"/>
        <v>0</v>
      </c>
      <c r="H399" s="13">
        <v>87</v>
      </c>
      <c r="I399" s="13">
        <v>64</v>
      </c>
      <c r="J399" s="13">
        <v>151</v>
      </c>
      <c r="K399" s="14">
        <v>2.9179999999999998E-5</v>
      </c>
    </row>
    <row r="400" spans="1:11" ht="188" customHeight="1" x14ac:dyDescent="0.15">
      <c r="A400" s="9">
        <v>5099</v>
      </c>
      <c r="B400" s="10" t="s">
        <v>1195</v>
      </c>
      <c r="C400" s="11" t="s">
        <v>1196</v>
      </c>
      <c r="D400" s="11" t="s">
        <v>1197</v>
      </c>
      <c r="E400" s="12"/>
      <c r="F400" s="13">
        <v>40</v>
      </c>
      <c r="G400" s="7">
        <f t="shared" si="6"/>
        <v>0</v>
      </c>
      <c r="H400" s="13">
        <v>56</v>
      </c>
      <c r="I400" s="13">
        <v>210</v>
      </c>
      <c r="J400" s="13">
        <v>266</v>
      </c>
      <c r="K400" s="16">
        <v>7.2799999999999994E-5</v>
      </c>
    </row>
    <row r="401" spans="1:11" ht="104" customHeight="1" x14ac:dyDescent="0.15">
      <c r="A401" s="9">
        <v>6687</v>
      </c>
      <c r="B401" s="10" t="s">
        <v>1198</v>
      </c>
      <c r="C401" s="11" t="s">
        <v>1199</v>
      </c>
      <c r="D401" s="11" t="s">
        <v>1200</v>
      </c>
      <c r="E401" s="13">
        <v>2</v>
      </c>
      <c r="F401" s="13">
        <v>2</v>
      </c>
      <c r="G401" s="7">
        <f t="shared" si="6"/>
        <v>1</v>
      </c>
      <c r="H401" s="13">
        <v>61</v>
      </c>
      <c r="I401" s="13">
        <v>92</v>
      </c>
      <c r="J401" s="13">
        <v>153</v>
      </c>
      <c r="K401" s="14">
        <v>3.5540000000000002E-5</v>
      </c>
    </row>
    <row r="402" spans="1:11" ht="164" customHeight="1" x14ac:dyDescent="0.15">
      <c r="A402" s="9">
        <v>3025</v>
      </c>
      <c r="B402" s="10" t="s">
        <v>1201</v>
      </c>
      <c r="C402" s="11" t="s">
        <v>1202</v>
      </c>
      <c r="D402" s="11" t="s">
        <v>1203</v>
      </c>
      <c r="E402" s="12">
        <v>96</v>
      </c>
      <c r="F402" s="13">
        <v>96</v>
      </c>
      <c r="G402" s="7">
        <f t="shared" si="6"/>
        <v>1</v>
      </c>
      <c r="H402" s="13">
        <v>75</v>
      </c>
      <c r="I402" s="13">
        <v>190</v>
      </c>
      <c r="J402" s="13">
        <v>265</v>
      </c>
      <c r="K402" s="16">
        <v>6.8300000000000007E-5</v>
      </c>
    </row>
    <row r="403" spans="1:11" ht="224" customHeight="1" x14ac:dyDescent="0.15">
      <c r="A403" s="9">
        <v>2273</v>
      </c>
      <c r="B403" s="10" t="s">
        <v>1204</v>
      </c>
      <c r="C403" s="11" t="s">
        <v>1205</v>
      </c>
      <c r="D403" s="11" t="s">
        <v>1206</v>
      </c>
      <c r="E403" s="13">
        <v>15890</v>
      </c>
      <c r="F403" s="13">
        <v>15890</v>
      </c>
      <c r="G403" s="7">
        <f t="shared" si="6"/>
        <v>1</v>
      </c>
      <c r="H403" s="13">
        <v>81</v>
      </c>
      <c r="I403" s="13">
        <v>260</v>
      </c>
      <c r="J403" s="13">
        <v>341</v>
      </c>
      <c r="K403" s="13">
        <v>1.4782E-4</v>
      </c>
    </row>
    <row r="404" spans="1:11" ht="44" customHeight="1" x14ac:dyDescent="0.15">
      <c r="A404" s="9">
        <v>6329</v>
      </c>
      <c r="B404" s="10" t="s">
        <v>1207</v>
      </c>
      <c r="C404" s="11" t="s">
        <v>1208</v>
      </c>
      <c r="D404" s="11" t="s">
        <v>680</v>
      </c>
      <c r="E404" s="13">
        <v>22</v>
      </c>
      <c r="F404" s="13">
        <v>22</v>
      </c>
      <c r="G404" s="7">
        <f t="shared" si="6"/>
        <v>1</v>
      </c>
      <c r="H404" s="13">
        <v>71</v>
      </c>
      <c r="I404" s="13">
        <v>4</v>
      </c>
      <c r="J404" s="13">
        <v>75</v>
      </c>
      <c r="K404" s="14">
        <v>4.5049999999999997E-5</v>
      </c>
    </row>
    <row r="405" spans="1:11" ht="188" customHeight="1" x14ac:dyDescent="0.15">
      <c r="A405" s="9">
        <v>1041</v>
      </c>
      <c r="B405" s="10" t="s">
        <v>1209</v>
      </c>
      <c r="C405" s="11" t="s">
        <v>1210</v>
      </c>
      <c r="D405" s="11" t="s">
        <v>1211</v>
      </c>
      <c r="E405" s="13">
        <v>130</v>
      </c>
      <c r="F405" s="13">
        <v>130</v>
      </c>
      <c r="G405" s="7">
        <f t="shared" si="6"/>
        <v>1</v>
      </c>
      <c r="H405" s="13">
        <v>55</v>
      </c>
      <c r="I405" s="13">
        <v>161</v>
      </c>
      <c r="J405" s="13">
        <v>216</v>
      </c>
      <c r="K405" s="15">
        <v>7.1824999999999998E-5</v>
      </c>
    </row>
    <row r="406" spans="1:11" ht="128" customHeight="1" x14ac:dyDescent="0.15">
      <c r="A406" s="9">
        <v>6507</v>
      </c>
      <c r="B406" s="10" t="s">
        <v>1212</v>
      </c>
      <c r="C406" s="11" t="s">
        <v>1213</v>
      </c>
      <c r="D406" s="11" t="s">
        <v>1214</v>
      </c>
      <c r="E406" s="13">
        <v>245</v>
      </c>
      <c r="F406" s="13">
        <v>245</v>
      </c>
      <c r="G406" s="7">
        <f t="shared" si="6"/>
        <v>1</v>
      </c>
      <c r="H406" s="13">
        <v>89</v>
      </c>
      <c r="I406" s="13">
        <v>142</v>
      </c>
      <c r="J406" s="13">
        <v>231</v>
      </c>
      <c r="K406" s="14">
        <v>9.0039999999999999E-5</v>
      </c>
    </row>
    <row r="407" spans="1:11" ht="212" customHeight="1" x14ac:dyDescent="0.15">
      <c r="A407" s="9">
        <v>7417</v>
      </c>
      <c r="B407" s="10" t="s">
        <v>1215</v>
      </c>
      <c r="C407" s="11" t="s">
        <v>1216</v>
      </c>
      <c r="D407" s="11" t="s">
        <v>1217</v>
      </c>
      <c r="E407" s="13">
        <v>170</v>
      </c>
      <c r="F407" s="13">
        <v>170</v>
      </c>
      <c r="G407" s="7">
        <f t="shared" si="6"/>
        <v>1</v>
      </c>
      <c r="H407" s="13">
        <v>116</v>
      </c>
      <c r="I407" s="13">
        <v>224</v>
      </c>
      <c r="J407" s="13">
        <v>340</v>
      </c>
      <c r="K407" s="13">
        <v>1.3808000000000001E-4</v>
      </c>
    </row>
    <row r="408" spans="1:11" ht="128" customHeight="1" x14ac:dyDescent="0.15">
      <c r="A408" s="9">
        <v>2299</v>
      </c>
      <c r="B408" s="10" t="s">
        <v>1218</v>
      </c>
      <c r="C408" s="11" t="s">
        <v>1219</v>
      </c>
      <c r="D408" s="11" t="s">
        <v>1220</v>
      </c>
      <c r="E408" s="13">
        <v>40</v>
      </c>
      <c r="F408" s="13">
        <v>40</v>
      </c>
      <c r="G408" s="7">
        <f t="shared" si="6"/>
        <v>1</v>
      </c>
      <c r="H408" s="13">
        <v>65</v>
      </c>
      <c r="I408" s="13">
        <v>139</v>
      </c>
      <c r="J408" s="13">
        <v>204</v>
      </c>
      <c r="K408" s="15">
        <v>6.4375000000000006E-5</v>
      </c>
    </row>
    <row r="409" spans="1:11" ht="164" customHeight="1" x14ac:dyDescent="0.15">
      <c r="A409" s="9">
        <v>3653</v>
      </c>
      <c r="B409" s="10" t="s">
        <v>1221</v>
      </c>
      <c r="C409" s="11" t="s">
        <v>1222</v>
      </c>
      <c r="D409" s="11" t="s">
        <v>1223</v>
      </c>
      <c r="E409" s="13">
        <v>25</v>
      </c>
      <c r="F409" s="13">
        <v>25</v>
      </c>
      <c r="G409" s="7">
        <f t="shared" si="6"/>
        <v>1</v>
      </c>
      <c r="H409" s="13">
        <v>70</v>
      </c>
      <c r="I409" s="13">
        <v>144</v>
      </c>
      <c r="J409" s="13">
        <v>214</v>
      </c>
      <c r="K409" s="14">
        <v>5.308E-5</v>
      </c>
    </row>
    <row r="410" spans="1:11" ht="260" customHeight="1" x14ac:dyDescent="0.15">
      <c r="A410" s="9">
        <v>3881</v>
      </c>
      <c r="B410" s="10" t="s">
        <v>1224</v>
      </c>
      <c r="C410" s="11" t="s">
        <v>1225</v>
      </c>
      <c r="D410" s="11" t="s">
        <v>1226</v>
      </c>
      <c r="E410" s="13">
        <v>16</v>
      </c>
      <c r="F410" s="13">
        <v>16</v>
      </c>
      <c r="G410" s="7">
        <f t="shared" si="6"/>
        <v>1</v>
      </c>
      <c r="H410" s="13">
        <v>127</v>
      </c>
      <c r="I410" s="13">
        <v>327</v>
      </c>
      <c r="J410" s="13">
        <v>454</v>
      </c>
      <c r="K410" s="13">
        <v>2.7700000000000001E-4</v>
      </c>
    </row>
    <row r="411" spans="1:11" ht="236" customHeight="1" x14ac:dyDescent="0.15">
      <c r="A411" s="9">
        <v>3721</v>
      </c>
      <c r="B411" s="10" t="s">
        <v>1227</v>
      </c>
      <c r="C411" s="11" t="s">
        <v>1228</v>
      </c>
      <c r="D411" s="11" t="s">
        <v>1229</v>
      </c>
      <c r="E411" s="13">
        <v>3</v>
      </c>
      <c r="F411" s="13">
        <v>3</v>
      </c>
      <c r="G411" s="7">
        <f t="shared" si="6"/>
        <v>1</v>
      </c>
      <c r="H411" s="13">
        <v>95</v>
      </c>
      <c r="I411" s="13">
        <v>248</v>
      </c>
      <c r="J411" s="13">
        <v>343</v>
      </c>
      <c r="K411" s="13">
        <v>1.449E-4</v>
      </c>
    </row>
    <row r="412" spans="1:11" ht="44" customHeight="1" x14ac:dyDescent="0.15">
      <c r="A412" s="9">
        <v>7266</v>
      </c>
      <c r="B412" s="10" t="s">
        <v>1230</v>
      </c>
      <c r="C412" s="11" t="s">
        <v>1231</v>
      </c>
      <c r="D412" s="11" t="s">
        <v>1232</v>
      </c>
      <c r="E412" s="12"/>
      <c r="F412" s="13">
        <v>192</v>
      </c>
      <c r="G412" s="7">
        <f t="shared" si="6"/>
        <v>0</v>
      </c>
      <c r="H412" s="13">
        <v>93</v>
      </c>
      <c r="I412" s="13">
        <v>4</v>
      </c>
      <c r="J412" s="13">
        <v>97</v>
      </c>
      <c r="K412" s="14">
        <v>1.058E-5</v>
      </c>
    </row>
    <row r="413" spans="1:11" ht="140" customHeight="1" x14ac:dyDescent="0.15">
      <c r="A413" s="9">
        <v>6434</v>
      </c>
      <c r="B413" s="10" t="s">
        <v>1233</v>
      </c>
      <c r="C413" s="11" t="s">
        <v>1234</v>
      </c>
      <c r="D413" s="11" t="s">
        <v>1235</v>
      </c>
      <c r="E413" s="13">
        <v>4</v>
      </c>
      <c r="F413" s="13">
        <v>4</v>
      </c>
      <c r="G413" s="7">
        <f t="shared" si="6"/>
        <v>1</v>
      </c>
      <c r="H413" s="13">
        <v>74</v>
      </c>
      <c r="I413" s="13">
        <v>180</v>
      </c>
      <c r="J413" s="13">
        <v>254</v>
      </c>
      <c r="K413" s="17">
        <v>6.4999999999999994E-5</v>
      </c>
    </row>
    <row r="414" spans="1:11" ht="44" customHeight="1" x14ac:dyDescent="0.15">
      <c r="A414" s="9">
        <v>1078</v>
      </c>
      <c r="B414" s="10" t="s">
        <v>1236</v>
      </c>
      <c r="C414" s="11" t="s">
        <v>1237</v>
      </c>
      <c r="D414" s="11" t="s">
        <v>1238</v>
      </c>
      <c r="E414" s="13">
        <v>67</v>
      </c>
      <c r="F414" s="13">
        <v>65</v>
      </c>
      <c r="G414" s="7">
        <f t="shared" si="6"/>
        <v>0</v>
      </c>
      <c r="H414" s="13">
        <v>86</v>
      </c>
      <c r="I414" s="13">
        <v>4</v>
      </c>
      <c r="J414" s="13">
        <v>90</v>
      </c>
      <c r="K414" s="16">
        <v>5.3900000000000002E-5</v>
      </c>
    </row>
    <row r="415" spans="1:11" ht="116" customHeight="1" x14ac:dyDescent="0.15">
      <c r="A415" s="9">
        <v>6074</v>
      </c>
      <c r="B415" s="10" t="s">
        <v>1239</v>
      </c>
      <c r="C415" s="11" t="s">
        <v>1240</v>
      </c>
      <c r="D415" s="11" t="s">
        <v>1241</v>
      </c>
      <c r="E415" s="12">
        <v>245</v>
      </c>
      <c r="F415" s="13">
        <v>245</v>
      </c>
      <c r="G415" s="7">
        <f t="shared" si="6"/>
        <v>1</v>
      </c>
      <c r="H415" s="13">
        <v>105</v>
      </c>
      <c r="I415" s="13">
        <v>106</v>
      </c>
      <c r="J415" s="13">
        <v>211</v>
      </c>
      <c r="K415" s="14">
        <v>4.4419999999999998E-5</v>
      </c>
    </row>
    <row r="416" spans="1:11" ht="140" customHeight="1" x14ac:dyDescent="0.15">
      <c r="A416" s="9">
        <v>5206</v>
      </c>
      <c r="B416" s="10" t="s">
        <v>1242</v>
      </c>
      <c r="C416" s="11" t="s">
        <v>1243</v>
      </c>
      <c r="D416" s="11" t="s">
        <v>1244</v>
      </c>
      <c r="E416" s="13">
        <v>90</v>
      </c>
      <c r="F416" s="13">
        <v>90</v>
      </c>
      <c r="G416" s="7">
        <f t="shared" si="6"/>
        <v>1</v>
      </c>
      <c r="H416" s="13">
        <v>122</v>
      </c>
      <c r="I416" s="13">
        <v>150</v>
      </c>
      <c r="J416" s="13">
        <v>272</v>
      </c>
      <c r="K416" s="16">
        <v>9.9199999999999999E-5</v>
      </c>
    </row>
    <row r="417" spans="1:11" ht="80" customHeight="1" x14ac:dyDescent="0.15">
      <c r="A417" s="9">
        <v>994</v>
      </c>
      <c r="B417" s="10" t="s">
        <v>1245</v>
      </c>
      <c r="C417" s="11" t="s">
        <v>1246</v>
      </c>
      <c r="D417" s="11" t="s">
        <v>734</v>
      </c>
      <c r="E417" s="13">
        <v>13</v>
      </c>
      <c r="F417" s="13">
        <v>11</v>
      </c>
      <c r="G417" s="7">
        <f t="shared" si="6"/>
        <v>0</v>
      </c>
      <c r="H417" s="13">
        <v>98</v>
      </c>
      <c r="I417" s="13">
        <v>4</v>
      </c>
      <c r="J417" s="13">
        <v>102</v>
      </c>
      <c r="K417" s="14">
        <v>1.1080000000000001E-5</v>
      </c>
    </row>
    <row r="418" spans="1:11" ht="212" customHeight="1" x14ac:dyDescent="0.15">
      <c r="A418" s="9">
        <v>3995</v>
      </c>
      <c r="B418" s="10" t="s">
        <v>1247</v>
      </c>
      <c r="C418" s="11" t="s">
        <v>1248</v>
      </c>
      <c r="D418" s="11" t="s">
        <v>1249</v>
      </c>
      <c r="E418" s="13">
        <v>576</v>
      </c>
      <c r="F418" s="13">
        <v>96</v>
      </c>
      <c r="G418" s="7">
        <f t="shared" si="6"/>
        <v>0</v>
      </c>
      <c r="H418" s="13">
        <v>85</v>
      </c>
      <c r="I418" s="13">
        <v>260</v>
      </c>
      <c r="J418" s="13">
        <v>345</v>
      </c>
      <c r="K418" s="13">
        <v>6.1068500000000003E-4</v>
      </c>
    </row>
    <row r="419" spans="1:11" ht="200" customHeight="1" x14ac:dyDescent="0.15">
      <c r="A419" s="9">
        <v>1074</v>
      </c>
      <c r="B419" s="10" t="s">
        <v>1250</v>
      </c>
      <c r="C419" s="11" t="s">
        <v>1251</v>
      </c>
      <c r="D419" s="11" t="s">
        <v>1252</v>
      </c>
      <c r="E419" s="13">
        <v>50</v>
      </c>
      <c r="F419" s="13">
        <v>50</v>
      </c>
      <c r="G419" s="7">
        <f t="shared" si="6"/>
        <v>1</v>
      </c>
      <c r="H419" s="13">
        <v>58</v>
      </c>
      <c r="I419" s="13">
        <v>241</v>
      </c>
      <c r="J419" s="13">
        <v>299</v>
      </c>
      <c r="K419" s="14">
        <v>8.2919999999999999E-5</v>
      </c>
    </row>
    <row r="420" spans="1:11" ht="200" customHeight="1" x14ac:dyDescent="0.15">
      <c r="A420" s="9">
        <v>5380</v>
      </c>
      <c r="B420" s="10" t="s">
        <v>1253</v>
      </c>
      <c r="C420" s="11" t="s">
        <v>1254</v>
      </c>
      <c r="D420" s="11" t="s">
        <v>1255</v>
      </c>
      <c r="E420" s="13">
        <v>7</v>
      </c>
      <c r="F420" s="13">
        <v>7</v>
      </c>
      <c r="G420" s="7">
        <f t="shared" si="6"/>
        <v>1</v>
      </c>
      <c r="H420" s="13">
        <v>63</v>
      </c>
      <c r="I420" s="13">
        <v>196</v>
      </c>
      <c r="J420" s="13">
        <v>259</v>
      </c>
      <c r="K420" s="15">
        <v>8.6904999999999995E-5</v>
      </c>
    </row>
    <row r="421" spans="1:11" ht="68" customHeight="1" x14ac:dyDescent="0.15">
      <c r="A421" s="9">
        <v>5546</v>
      </c>
      <c r="B421" s="10" t="s">
        <v>1256</v>
      </c>
      <c r="C421" s="11" t="s">
        <v>1257</v>
      </c>
      <c r="D421" s="11" t="s">
        <v>1258</v>
      </c>
      <c r="E421" s="12"/>
      <c r="F421" s="13">
        <v>130</v>
      </c>
      <c r="G421" s="7">
        <f t="shared" si="6"/>
        <v>0</v>
      </c>
      <c r="H421" s="13">
        <v>0</v>
      </c>
      <c r="I421" s="13">
        <v>1</v>
      </c>
      <c r="J421" s="13">
        <v>1</v>
      </c>
      <c r="K421" s="13">
        <v>0</v>
      </c>
    </row>
    <row r="422" spans="1:11" ht="176" customHeight="1" x14ac:dyDescent="0.15">
      <c r="A422" s="9">
        <v>3790</v>
      </c>
      <c r="B422" s="10" t="s">
        <v>1259</v>
      </c>
      <c r="C422" s="11" t="s">
        <v>1260</v>
      </c>
      <c r="D422" s="11" t="s">
        <v>1261</v>
      </c>
      <c r="E422" s="13">
        <v>100</v>
      </c>
      <c r="F422" s="13">
        <v>100</v>
      </c>
      <c r="G422" s="7">
        <f t="shared" si="6"/>
        <v>1</v>
      </c>
      <c r="H422" s="13">
        <v>79</v>
      </c>
      <c r="I422" s="13">
        <v>184</v>
      </c>
      <c r="J422" s="13">
        <v>263</v>
      </c>
      <c r="K422" s="14">
        <v>6.6779999999999994E-5</v>
      </c>
    </row>
    <row r="423" spans="1:11" ht="164" customHeight="1" x14ac:dyDescent="0.15">
      <c r="A423" s="9">
        <v>4019</v>
      </c>
      <c r="B423" s="10" t="s">
        <v>1262</v>
      </c>
      <c r="C423" s="11" t="s">
        <v>1263</v>
      </c>
      <c r="D423" s="11" t="s">
        <v>1264</v>
      </c>
      <c r="E423" s="13">
        <v>10</v>
      </c>
      <c r="F423" s="13">
        <v>10</v>
      </c>
      <c r="G423" s="7">
        <f t="shared" si="6"/>
        <v>1</v>
      </c>
      <c r="H423" s="13">
        <v>72</v>
      </c>
      <c r="I423" s="13">
        <v>191</v>
      </c>
      <c r="J423" s="13">
        <v>263</v>
      </c>
      <c r="K423" s="13">
        <v>1.8673E-4</v>
      </c>
    </row>
    <row r="424" spans="1:11" ht="176" customHeight="1" x14ac:dyDescent="0.15">
      <c r="A424" s="9">
        <v>2614</v>
      </c>
      <c r="B424" s="10" t="s">
        <v>1265</v>
      </c>
      <c r="C424" s="11" t="s">
        <v>1266</v>
      </c>
      <c r="D424" s="11" t="s">
        <v>1267</v>
      </c>
      <c r="E424" s="13">
        <v>3</v>
      </c>
      <c r="F424" s="13">
        <v>3</v>
      </c>
      <c r="G424" s="7">
        <f t="shared" si="6"/>
        <v>1</v>
      </c>
      <c r="H424" s="13">
        <v>139</v>
      </c>
      <c r="I424" s="13">
        <v>168</v>
      </c>
      <c r="J424" s="13">
        <v>307</v>
      </c>
      <c r="K424" s="13">
        <v>1.1356E-4</v>
      </c>
    </row>
    <row r="425" spans="1:11" ht="152" customHeight="1" x14ac:dyDescent="0.15">
      <c r="A425" s="9">
        <v>2245</v>
      </c>
      <c r="B425" s="10" t="s">
        <v>1268</v>
      </c>
      <c r="C425" s="11" t="s">
        <v>1269</v>
      </c>
      <c r="D425" s="11" t="s">
        <v>1270</v>
      </c>
      <c r="E425" s="13">
        <v>148</v>
      </c>
      <c r="F425" s="13">
        <v>148</v>
      </c>
      <c r="G425" s="7">
        <f t="shared" si="6"/>
        <v>1</v>
      </c>
      <c r="H425" s="13">
        <v>79</v>
      </c>
      <c r="I425" s="13">
        <v>163</v>
      </c>
      <c r="J425" s="13">
        <v>242</v>
      </c>
      <c r="K425" s="13">
        <v>1.4200000000000001E-4</v>
      </c>
    </row>
    <row r="426" spans="1:11" ht="44" customHeight="1" x14ac:dyDescent="0.15">
      <c r="A426" s="9">
        <v>5792</v>
      </c>
      <c r="B426" s="10" t="s">
        <v>1271</v>
      </c>
      <c r="C426" s="11" t="s">
        <v>1272</v>
      </c>
      <c r="D426" s="11" t="s">
        <v>1273</v>
      </c>
      <c r="E426" s="12">
        <v>22</v>
      </c>
      <c r="F426" s="13">
        <v>22</v>
      </c>
      <c r="G426" s="7">
        <f t="shared" si="6"/>
        <v>1</v>
      </c>
      <c r="H426" s="13">
        <v>55</v>
      </c>
      <c r="I426" s="13">
        <v>4</v>
      </c>
      <c r="J426" s="13">
        <v>59</v>
      </c>
      <c r="K426" s="16">
        <v>1.4100000000000001E-5</v>
      </c>
    </row>
    <row r="427" spans="1:11" ht="152" customHeight="1" x14ac:dyDescent="0.15">
      <c r="A427" s="9">
        <v>3765</v>
      </c>
      <c r="B427" s="10" t="s">
        <v>1274</v>
      </c>
      <c r="C427" s="11" t="s">
        <v>1275</v>
      </c>
      <c r="D427" s="11" t="s">
        <v>1276</v>
      </c>
      <c r="E427" s="13">
        <v>110</v>
      </c>
      <c r="F427" s="13">
        <v>110</v>
      </c>
      <c r="G427" s="7">
        <f t="shared" si="6"/>
        <v>1</v>
      </c>
      <c r="H427" s="13">
        <v>59</v>
      </c>
      <c r="I427" s="13">
        <v>110</v>
      </c>
      <c r="J427" s="13">
        <v>169</v>
      </c>
      <c r="K427" s="16">
        <v>4.1100000000000003E-5</v>
      </c>
    </row>
    <row r="428" spans="1:11" ht="44" customHeight="1" x14ac:dyDescent="0.15">
      <c r="A428" s="9">
        <v>5840</v>
      </c>
      <c r="B428" s="10" t="s">
        <v>1277</v>
      </c>
      <c r="C428" s="11" t="s">
        <v>1278</v>
      </c>
      <c r="D428" s="11" t="s">
        <v>1279</v>
      </c>
      <c r="E428" s="12">
        <v>800</v>
      </c>
      <c r="F428" s="13">
        <v>800</v>
      </c>
      <c r="G428" s="7">
        <f t="shared" si="6"/>
        <v>1</v>
      </c>
      <c r="H428" s="13">
        <v>68</v>
      </c>
      <c r="I428" s="13">
        <v>4</v>
      </c>
      <c r="J428" s="13">
        <v>72</v>
      </c>
      <c r="K428" s="16">
        <v>8.0800000000000006E-6</v>
      </c>
    </row>
    <row r="429" spans="1:11" ht="164" customHeight="1" x14ac:dyDescent="0.15">
      <c r="A429" s="9">
        <v>3164</v>
      </c>
      <c r="B429" s="10" t="s">
        <v>1280</v>
      </c>
      <c r="C429" s="11" t="s">
        <v>1281</v>
      </c>
      <c r="D429" s="11" t="s">
        <v>1282</v>
      </c>
      <c r="E429" s="13">
        <v>450</v>
      </c>
      <c r="F429" s="13">
        <v>450</v>
      </c>
      <c r="G429" s="7">
        <f t="shared" si="6"/>
        <v>1</v>
      </c>
      <c r="H429" s="13">
        <v>87</v>
      </c>
      <c r="I429" s="13">
        <v>142</v>
      </c>
      <c r="J429" s="13">
        <v>229</v>
      </c>
      <c r="K429" s="13">
        <v>1.6351000000000001E-4</v>
      </c>
    </row>
    <row r="430" spans="1:11" ht="212" customHeight="1" x14ac:dyDescent="0.15">
      <c r="A430" s="9">
        <v>1566</v>
      </c>
      <c r="B430" s="10" t="s">
        <v>1283</v>
      </c>
      <c r="C430" s="11" t="s">
        <v>1284</v>
      </c>
      <c r="D430" s="11" t="s">
        <v>1285</v>
      </c>
      <c r="E430" s="13">
        <v>300</v>
      </c>
      <c r="F430" s="13">
        <v>300</v>
      </c>
      <c r="G430" s="7">
        <f t="shared" si="6"/>
        <v>1</v>
      </c>
      <c r="H430" s="13">
        <v>78</v>
      </c>
      <c r="I430" s="13">
        <v>243</v>
      </c>
      <c r="J430" s="13">
        <v>321</v>
      </c>
      <c r="K430" s="13">
        <v>1.3866E-4</v>
      </c>
    </row>
    <row r="431" spans="1:11" ht="92" customHeight="1" x14ac:dyDescent="0.15">
      <c r="A431" s="9">
        <v>3121</v>
      </c>
      <c r="B431" s="10" t="s">
        <v>1286</v>
      </c>
      <c r="C431" s="11" t="s">
        <v>1287</v>
      </c>
      <c r="D431" s="11" t="s">
        <v>1288</v>
      </c>
      <c r="E431" s="13">
        <v>5</v>
      </c>
      <c r="F431" s="13">
        <v>5</v>
      </c>
      <c r="G431" s="7">
        <f t="shared" si="6"/>
        <v>1</v>
      </c>
      <c r="H431" s="13">
        <v>56</v>
      </c>
      <c r="I431" s="13">
        <v>108</v>
      </c>
      <c r="J431" s="13">
        <v>164</v>
      </c>
      <c r="K431" s="14">
        <v>4.0160000000000002E-5</v>
      </c>
    </row>
    <row r="432" spans="1:11" ht="248" customHeight="1" x14ac:dyDescent="0.15">
      <c r="A432" s="9">
        <v>1832</v>
      </c>
      <c r="B432" s="10" t="s">
        <v>1289</v>
      </c>
      <c r="C432" s="11" t="s">
        <v>1290</v>
      </c>
      <c r="D432" s="11" t="s">
        <v>1291</v>
      </c>
      <c r="E432" s="13">
        <v>30</v>
      </c>
      <c r="F432" s="13">
        <v>30</v>
      </c>
      <c r="G432" s="7">
        <f t="shared" si="6"/>
        <v>1</v>
      </c>
      <c r="H432" s="13">
        <v>96</v>
      </c>
      <c r="I432" s="13">
        <v>226</v>
      </c>
      <c r="J432" s="13">
        <v>322</v>
      </c>
      <c r="K432" s="13">
        <v>1.9349999999999999E-4</v>
      </c>
    </row>
    <row r="433" spans="1:11" ht="212" customHeight="1" x14ac:dyDescent="0.15">
      <c r="A433" s="9">
        <v>2431</v>
      </c>
      <c r="B433" s="10" t="s">
        <v>1292</v>
      </c>
      <c r="C433" s="11" t="s">
        <v>1293</v>
      </c>
      <c r="D433" s="11" t="s">
        <v>1294</v>
      </c>
      <c r="E433" s="13">
        <v>14</v>
      </c>
      <c r="F433" s="13">
        <v>14</v>
      </c>
      <c r="G433" s="7">
        <f t="shared" si="6"/>
        <v>1</v>
      </c>
      <c r="H433" s="13">
        <v>61</v>
      </c>
      <c r="I433" s="13">
        <v>207</v>
      </c>
      <c r="J433" s="13">
        <v>268</v>
      </c>
      <c r="K433" s="14">
        <v>7.2340000000000002E-5</v>
      </c>
    </row>
    <row r="434" spans="1:11" ht="260" customHeight="1" x14ac:dyDescent="0.15">
      <c r="A434" s="9">
        <v>2110</v>
      </c>
      <c r="B434" s="10" t="s">
        <v>1295</v>
      </c>
      <c r="C434" s="11" t="s">
        <v>1296</v>
      </c>
      <c r="D434" s="11" t="s">
        <v>1297</v>
      </c>
      <c r="E434" s="13">
        <v>8</v>
      </c>
      <c r="F434" s="13">
        <v>8</v>
      </c>
      <c r="G434" s="7">
        <f t="shared" si="6"/>
        <v>1</v>
      </c>
      <c r="H434" s="13">
        <v>92</v>
      </c>
      <c r="I434" s="13">
        <v>255</v>
      </c>
      <c r="J434" s="13">
        <v>347</v>
      </c>
      <c r="K434" s="16">
        <v>9.0799999999999998E-5</v>
      </c>
    </row>
    <row r="435" spans="1:11" ht="212" customHeight="1" x14ac:dyDescent="0.15">
      <c r="A435" s="9">
        <v>5485</v>
      </c>
      <c r="B435" s="10" t="s">
        <v>1298</v>
      </c>
      <c r="C435" s="11" t="s">
        <v>1299</v>
      </c>
      <c r="D435" s="11" t="s">
        <v>1300</v>
      </c>
      <c r="E435" s="13">
        <v>13000</v>
      </c>
      <c r="F435" s="13">
        <v>13000</v>
      </c>
      <c r="G435" s="7">
        <f t="shared" si="6"/>
        <v>1</v>
      </c>
      <c r="H435" s="13">
        <v>115</v>
      </c>
      <c r="I435" s="13">
        <v>231</v>
      </c>
      <c r="J435" s="13">
        <v>346</v>
      </c>
      <c r="K435" s="13">
        <v>1.4151999999999999E-4</v>
      </c>
    </row>
    <row r="436" spans="1:11" ht="212" customHeight="1" x14ac:dyDescent="0.15">
      <c r="A436" s="9">
        <v>6690</v>
      </c>
      <c r="B436" s="10" t="s">
        <v>1301</v>
      </c>
      <c r="C436" s="11" t="s">
        <v>1302</v>
      </c>
      <c r="D436" s="11" t="s">
        <v>1303</v>
      </c>
      <c r="E436" s="13">
        <v>25</v>
      </c>
      <c r="F436" s="13">
        <v>25</v>
      </c>
      <c r="G436" s="7">
        <f t="shared" si="6"/>
        <v>1</v>
      </c>
      <c r="H436" s="13">
        <v>93</v>
      </c>
      <c r="I436" s="13">
        <v>214</v>
      </c>
      <c r="J436" s="13">
        <v>307</v>
      </c>
      <c r="K436" s="14">
        <v>7.7780000000000004E-5</v>
      </c>
    </row>
    <row r="437" spans="1:11" ht="44" customHeight="1" x14ac:dyDescent="0.15">
      <c r="A437" s="9">
        <v>7366</v>
      </c>
      <c r="B437" s="10" t="s">
        <v>1304</v>
      </c>
      <c r="C437" s="11" t="s">
        <v>1305</v>
      </c>
      <c r="D437" s="11" t="s">
        <v>1306</v>
      </c>
      <c r="E437" s="12">
        <v>240</v>
      </c>
      <c r="F437" s="13">
        <v>240</v>
      </c>
      <c r="G437" s="7">
        <f t="shared" si="6"/>
        <v>1</v>
      </c>
      <c r="H437" s="13">
        <v>56</v>
      </c>
      <c r="I437" s="13">
        <v>4</v>
      </c>
      <c r="J437" s="13">
        <v>60</v>
      </c>
      <c r="K437" s="14">
        <v>1.432E-5</v>
      </c>
    </row>
    <row r="438" spans="1:11" ht="380" customHeight="1" x14ac:dyDescent="0.15">
      <c r="A438" s="9">
        <v>6282</v>
      </c>
      <c r="B438" s="10" t="s">
        <v>1307</v>
      </c>
      <c r="C438" s="11" t="s">
        <v>1308</v>
      </c>
      <c r="D438" s="11" t="s">
        <v>1309</v>
      </c>
      <c r="E438" s="13">
        <v>21</v>
      </c>
      <c r="F438" s="13">
        <v>21</v>
      </c>
      <c r="G438" s="7">
        <f t="shared" si="6"/>
        <v>1</v>
      </c>
      <c r="H438" s="13">
        <v>173</v>
      </c>
      <c r="I438" s="13">
        <v>394</v>
      </c>
      <c r="J438" s="13">
        <v>567</v>
      </c>
      <c r="K438" s="13">
        <v>1.80955E-4</v>
      </c>
    </row>
    <row r="439" spans="1:11" ht="260" customHeight="1" x14ac:dyDescent="0.15">
      <c r="A439" s="9">
        <v>5317</v>
      </c>
      <c r="B439" s="10" t="s">
        <v>1310</v>
      </c>
      <c r="C439" s="11" t="s">
        <v>1311</v>
      </c>
      <c r="D439" s="11" t="s">
        <v>1312</v>
      </c>
      <c r="E439" s="13">
        <v>16</v>
      </c>
      <c r="F439" s="13">
        <v>48</v>
      </c>
      <c r="G439" s="7">
        <f t="shared" si="6"/>
        <v>0</v>
      </c>
      <c r="H439" s="13">
        <v>124</v>
      </c>
      <c r="I439" s="13">
        <v>280</v>
      </c>
      <c r="J439" s="13">
        <v>404</v>
      </c>
      <c r="K439" s="13">
        <v>1.6728000000000001E-4</v>
      </c>
    </row>
    <row r="440" spans="1:11" ht="164" customHeight="1" x14ac:dyDescent="0.15">
      <c r="A440" s="9">
        <v>6406</v>
      </c>
      <c r="B440" s="10" t="s">
        <v>1313</v>
      </c>
      <c r="C440" s="11" t="s">
        <v>1314</v>
      </c>
      <c r="D440" s="11" t="s">
        <v>1315</v>
      </c>
      <c r="E440" s="12">
        <v>35</v>
      </c>
      <c r="F440" s="13">
        <v>35</v>
      </c>
      <c r="G440" s="7">
        <f t="shared" si="6"/>
        <v>1</v>
      </c>
      <c r="H440" s="13">
        <v>79</v>
      </c>
      <c r="I440" s="13">
        <v>200</v>
      </c>
      <c r="J440" s="13">
        <v>279</v>
      </c>
      <c r="K440" s="16">
        <v>7.1899999999999999E-5</v>
      </c>
    </row>
    <row r="441" spans="1:11" ht="152" customHeight="1" x14ac:dyDescent="0.15">
      <c r="A441" s="9">
        <v>5950</v>
      </c>
      <c r="B441" s="10" t="s">
        <v>1316</v>
      </c>
      <c r="C441" s="11" t="s">
        <v>1317</v>
      </c>
      <c r="D441" s="11" t="s">
        <v>1318</v>
      </c>
      <c r="E441" s="13">
        <v>14</v>
      </c>
      <c r="F441" s="13">
        <v>14</v>
      </c>
      <c r="G441" s="7">
        <f t="shared" si="6"/>
        <v>1</v>
      </c>
      <c r="H441" s="13">
        <v>106</v>
      </c>
      <c r="I441" s="13">
        <v>143</v>
      </c>
      <c r="J441" s="13">
        <v>249</v>
      </c>
      <c r="K441" s="14">
        <v>9.2360000000000003E-5</v>
      </c>
    </row>
    <row r="442" spans="1:11" ht="176" customHeight="1" x14ac:dyDescent="0.15">
      <c r="A442" s="9">
        <v>1883</v>
      </c>
      <c r="B442" s="10" t="s">
        <v>1319</v>
      </c>
      <c r="C442" s="11" t="s">
        <v>1320</v>
      </c>
      <c r="D442" s="11" t="s">
        <v>1321</v>
      </c>
      <c r="E442" s="13">
        <v>25</v>
      </c>
      <c r="F442" s="13">
        <v>25</v>
      </c>
      <c r="G442" s="7">
        <f t="shared" si="6"/>
        <v>1</v>
      </c>
      <c r="H442" s="13">
        <v>77</v>
      </c>
      <c r="I442" s="13">
        <v>195</v>
      </c>
      <c r="J442" s="13">
        <v>272</v>
      </c>
      <c r="K442" s="13">
        <v>2.1015000000000001E-4</v>
      </c>
    </row>
    <row r="443" spans="1:11" ht="236" customHeight="1" x14ac:dyDescent="0.15">
      <c r="A443" s="9">
        <v>3491</v>
      </c>
      <c r="B443" s="10" t="s">
        <v>1322</v>
      </c>
      <c r="C443" s="11" t="s">
        <v>1323</v>
      </c>
      <c r="D443" s="11" t="s">
        <v>1324</v>
      </c>
      <c r="E443" s="13">
        <v>36</v>
      </c>
      <c r="F443" s="13">
        <v>36</v>
      </c>
      <c r="G443" s="7">
        <f t="shared" si="6"/>
        <v>1</v>
      </c>
      <c r="H443" s="13">
        <v>94</v>
      </c>
      <c r="I443" s="13">
        <v>257</v>
      </c>
      <c r="J443" s="13">
        <v>351</v>
      </c>
      <c r="K443" s="14">
        <v>9.1639999999999997E-5</v>
      </c>
    </row>
    <row r="444" spans="1:11" ht="152" customHeight="1" x14ac:dyDescent="0.15">
      <c r="A444" s="9">
        <v>2815</v>
      </c>
      <c r="B444" s="10" t="s">
        <v>1325</v>
      </c>
      <c r="C444" s="11" t="s">
        <v>1326</v>
      </c>
      <c r="D444" s="11" t="s">
        <v>1327</v>
      </c>
      <c r="E444" s="13">
        <v>30</v>
      </c>
      <c r="F444" s="13">
        <v>30</v>
      </c>
      <c r="G444" s="7">
        <f t="shared" si="6"/>
        <v>1</v>
      </c>
      <c r="H444" s="13">
        <v>58</v>
      </c>
      <c r="I444" s="13">
        <v>134</v>
      </c>
      <c r="J444" s="13">
        <v>192</v>
      </c>
      <c r="K444" s="13">
        <v>1.9968000000000001E-4</v>
      </c>
    </row>
    <row r="445" spans="1:11" ht="284" customHeight="1" x14ac:dyDescent="0.15">
      <c r="A445" s="9">
        <v>7196</v>
      </c>
      <c r="B445" s="10" t="s">
        <v>1328</v>
      </c>
      <c r="C445" s="11" t="s">
        <v>1329</v>
      </c>
      <c r="D445" s="11" t="s">
        <v>1330</v>
      </c>
      <c r="E445" s="13">
        <v>3</v>
      </c>
      <c r="F445" s="13">
        <v>3</v>
      </c>
      <c r="G445" s="7">
        <f t="shared" si="6"/>
        <v>1</v>
      </c>
      <c r="H445" s="13">
        <v>97</v>
      </c>
      <c r="I445" s="13">
        <v>345</v>
      </c>
      <c r="J445" s="13">
        <v>442</v>
      </c>
      <c r="K445" s="13">
        <v>1.5109499999999999E-4</v>
      </c>
    </row>
    <row r="446" spans="1:11" ht="200" customHeight="1" x14ac:dyDescent="0.15">
      <c r="A446" s="9">
        <v>50</v>
      </c>
      <c r="B446" s="10" t="s">
        <v>1331</v>
      </c>
      <c r="C446" s="11" t="s">
        <v>1332</v>
      </c>
      <c r="D446" s="11" t="s">
        <v>1333</v>
      </c>
      <c r="E446" s="13">
        <v>5</v>
      </c>
      <c r="F446" s="13">
        <v>5</v>
      </c>
      <c r="G446" s="7">
        <f t="shared" si="6"/>
        <v>1</v>
      </c>
      <c r="H446" s="13">
        <v>96</v>
      </c>
      <c r="I446" s="13">
        <v>211</v>
      </c>
      <c r="J446" s="13">
        <v>307</v>
      </c>
      <c r="K446" s="14">
        <v>7.7119999999999993E-5</v>
      </c>
    </row>
    <row r="447" spans="1:11" ht="128" customHeight="1" x14ac:dyDescent="0.15">
      <c r="A447" s="9">
        <v>6418</v>
      </c>
      <c r="B447" s="10" t="s">
        <v>1334</v>
      </c>
      <c r="C447" s="11" t="s">
        <v>1335</v>
      </c>
      <c r="D447" s="11" t="s">
        <v>1336</v>
      </c>
      <c r="E447" s="13">
        <v>6</v>
      </c>
      <c r="F447" s="13">
        <v>6</v>
      </c>
      <c r="G447" s="7">
        <f t="shared" si="6"/>
        <v>1</v>
      </c>
      <c r="H447" s="13">
        <v>91</v>
      </c>
      <c r="I447" s="13">
        <v>94</v>
      </c>
      <c r="J447" s="13">
        <v>185</v>
      </c>
      <c r="K447" s="14">
        <v>6.3880000000000005E-5</v>
      </c>
    </row>
    <row r="448" spans="1:11" ht="224" customHeight="1" x14ac:dyDescent="0.15">
      <c r="A448" s="9">
        <v>4034</v>
      </c>
      <c r="B448" s="10" t="s">
        <v>1337</v>
      </c>
      <c r="C448" s="11" t="s">
        <v>1338</v>
      </c>
      <c r="D448" s="11" t="s">
        <v>1339</v>
      </c>
      <c r="E448" s="13">
        <v>24</v>
      </c>
      <c r="F448" s="13">
        <v>24</v>
      </c>
      <c r="G448" s="7">
        <f t="shared" si="6"/>
        <v>1</v>
      </c>
      <c r="H448" s="13">
        <v>93</v>
      </c>
      <c r="I448" s="13">
        <v>249</v>
      </c>
      <c r="J448" s="13">
        <v>342</v>
      </c>
      <c r="K448" s="14">
        <v>8.8980000000000005E-5</v>
      </c>
    </row>
    <row r="449" spans="1:11" ht="164" customHeight="1" x14ac:dyDescent="0.15">
      <c r="A449" s="9">
        <v>245</v>
      </c>
      <c r="B449" s="10" t="s">
        <v>1340</v>
      </c>
      <c r="C449" s="11" t="s">
        <v>1341</v>
      </c>
      <c r="D449" s="11" t="s">
        <v>1342</v>
      </c>
      <c r="E449" s="13">
        <v>2280</v>
      </c>
      <c r="F449" s="13">
        <v>2280</v>
      </c>
      <c r="G449" s="7">
        <f t="shared" si="6"/>
        <v>1</v>
      </c>
      <c r="H449" s="13">
        <v>67</v>
      </c>
      <c r="I449" s="13">
        <v>171</v>
      </c>
      <c r="J449" s="13">
        <v>238</v>
      </c>
      <c r="K449" s="15">
        <v>7.7445000000000001E-5</v>
      </c>
    </row>
    <row r="450" spans="1:11" ht="176" customHeight="1" x14ac:dyDescent="0.15">
      <c r="A450" s="9">
        <v>5345</v>
      </c>
      <c r="B450" s="10" t="s">
        <v>1343</v>
      </c>
      <c r="C450" s="11" t="s">
        <v>1344</v>
      </c>
      <c r="D450" s="11" t="s">
        <v>1345</v>
      </c>
      <c r="E450" s="13">
        <v>10</v>
      </c>
      <c r="F450" s="13">
        <v>10</v>
      </c>
      <c r="G450" s="7">
        <f t="shared" si="6"/>
        <v>1</v>
      </c>
      <c r="H450" s="13">
        <v>83</v>
      </c>
      <c r="I450" s="13">
        <v>189</v>
      </c>
      <c r="J450" s="13">
        <v>272</v>
      </c>
      <c r="K450" s="14">
        <v>6.8780000000000002E-5</v>
      </c>
    </row>
    <row r="451" spans="1:11" ht="212" customHeight="1" x14ac:dyDescent="0.15">
      <c r="A451" s="9">
        <v>3552</v>
      </c>
      <c r="B451" s="10" t="s">
        <v>1346</v>
      </c>
      <c r="C451" s="11" t="s">
        <v>1347</v>
      </c>
      <c r="D451" s="11" t="s">
        <v>1348</v>
      </c>
      <c r="E451" s="13">
        <v>8640</v>
      </c>
      <c r="F451" s="13">
        <v>8640</v>
      </c>
      <c r="G451" s="7">
        <f t="shared" si="6"/>
        <v>1</v>
      </c>
      <c r="H451" s="13">
        <v>75</v>
      </c>
      <c r="I451" s="13">
        <v>225</v>
      </c>
      <c r="J451" s="13">
        <v>300</v>
      </c>
      <c r="K451" s="16">
        <v>7.9499999999999994E-5</v>
      </c>
    </row>
    <row r="452" spans="1:11" ht="248" customHeight="1" x14ac:dyDescent="0.15">
      <c r="A452" s="9">
        <v>5389</v>
      </c>
      <c r="B452" s="10" t="s">
        <v>1349</v>
      </c>
      <c r="C452" s="11" t="s">
        <v>1350</v>
      </c>
      <c r="D452" s="11" t="s">
        <v>1351</v>
      </c>
      <c r="E452" s="12">
        <v>640</v>
      </c>
      <c r="F452" s="13">
        <v>640</v>
      </c>
      <c r="G452" s="7">
        <f t="shared" ref="G452:G502" si="7">IF(OR(ISBLANK(E452), ISBLANK(F452)), 0, IF(E452=F452, 1, 0))</f>
        <v>1</v>
      </c>
      <c r="H452" s="13">
        <v>79</v>
      </c>
      <c r="I452" s="13">
        <v>259</v>
      </c>
      <c r="J452" s="13">
        <v>338</v>
      </c>
      <c r="K452" s="14">
        <v>9.0779999999999995E-5</v>
      </c>
    </row>
    <row r="453" spans="1:11" ht="272" customHeight="1" x14ac:dyDescent="0.15">
      <c r="A453" s="9">
        <v>4216</v>
      </c>
      <c r="B453" s="10" t="s">
        <v>1352</v>
      </c>
      <c r="C453" s="11" t="s">
        <v>1353</v>
      </c>
      <c r="D453" s="11" t="s">
        <v>1354</v>
      </c>
      <c r="E453" s="13">
        <v>69</v>
      </c>
      <c r="F453" s="13">
        <v>69</v>
      </c>
      <c r="G453" s="7">
        <f t="shared" si="7"/>
        <v>1</v>
      </c>
      <c r="H453" s="13">
        <v>89</v>
      </c>
      <c r="I453" s="13">
        <v>212</v>
      </c>
      <c r="J453" s="13">
        <v>301</v>
      </c>
      <c r="K453" s="14">
        <v>7.674E-5</v>
      </c>
    </row>
    <row r="454" spans="1:11" ht="200" customHeight="1" x14ac:dyDescent="0.15">
      <c r="A454" s="9">
        <v>3422</v>
      </c>
      <c r="B454" s="10" t="s">
        <v>1355</v>
      </c>
      <c r="C454" s="11" t="s">
        <v>1356</v>
      </c>
      <c r="D454" s="11" t="s">
        <v>1357</v>
      </c>
      <c r="E454" s="13">
        <v>400</v>
      </c>
      <c r="F454" s="13">
        <v>400</v>
      </c>
      <c r="G454" s="7">
        <f t="shared" si="7"/>
        <v>1</v>
      </c>
      <c r="H454" s="13">
        <v>70</v>
      </c>
      <c r="I454" s="13">
        <v>185</v>
      </c>
      <c r="J454" s="13">
        <v>255</v>
      </c>
      <c r="K454" s="13">
        <v>1.0789999999999999E-4</v>
      </c>
    </row>
    <row r="455" spans="1:11" ht="236" customHeight="1" x14ac:dyDescent="0.15">
      <c r="A455" s="9">
        <v>3692</v>
      </c>
      <c r="B455" s="10" t="s">
        <v>1358</v>
      </c>
      <c r="C455" s="11" t="s">
        <v>1359</v>
      </c>
      <c r="D455" s="19" t="s">
        <v>1360</v>
      </c>
      <c r="E455" s="12">
        <v>2</v>
      </c>
      <c r="F455" s="13">
        <v>2</v>
      </c>
      <c r="G455" s="7">
        <f t="shared" si="7"/>
        <v>1</v>
      </c>
      <c r="H455" s="13">
        <v>123</v>
      </c>
      <c r="I455" s="13">
        <v>271</v>
      </c>
      <c r="J455" s="13">
        <v>394</v>
      </c>
      <c r="K455" s="14">
        <v>9.9019999999999997E-5</v>
      </c>
    </row>
    <row r="456" spans="1:11" ht="152" customHeight="1" x14ac:dyDescent="0.15">
      <c r="A456" s="9">
        <v>5277</v>
      </c>
      <c r="B456" s="10" t="s">
        <v>1361</v>
      </c>
      <c r="C456" s="11" t="s">
        <v>1362</v>
      </c>
      <c r="D456" s="11" t="s">
        <v>1363</v>
      </c>
      <c r="E456" s="13">
        <v>7</v>
      </c>
      <c r="F456" s="13">
        <v>7</v>
      </c>
      <c r="G456" s="7">
        <f t="shared" si="7"/>
        <v>1</v>
      </c>
      <c r="H456" s="13">
        <v>95</v>
      </c>
      <c r="I456" s="13">
        <v>179</v>
      </c>
      <c r="J456" s="13">
        <v>274</v>
      </c>
      <c r="K456" s="13">
        <v>1.104E-4</v>
      </c>
    </row>
    <row r="457" spans="1:11" ht="212" customHeight="1" x14ac:dyDescent="0.15">
      <c r="A457" s="9">
        <v>4651</v>
      </c>
      <c r="B457" s="10" t="s">
        <v>1364</v>
      </c>
      <c r="C457" s="11" t="s">
        <v>1365</v>
      </c>
      <c r="D457" s="11" t="s">
        <v>1366</v>
      </c>
      <c r="E457" s="13">
        <v>49</v>
      </c>
      <c r="F457" s="13">
        <v>49</v>
      </c>
      <c r="G457" s="7">
        <f t="shared" si="7"/>
        <v>1</v>
      </c>
      <c r="H457" s="13">
        <v>96</v>
      </c>
      <c r="I457" s="13">
        <v>215</v>
      </c>
      <c r="J457" s="13">
        <v>311</v>
      </c>
      <c r="K457" s="14">
        <v>9.8960000000000001E-5</v>
      </c>
    </row>
    <row r="458" spans="1:11" ht="224" customHeight="1" x14ac:dyDescent="0.15">
      <c r="A458" s="9">
        <v>4927</v>
      </c>
      <c r="B458" s="10" t="s">
        <v>1367</v>
      </c>
      <c r="C458" s="11" t="s">
        <v>1368</v>
      </c>
      <c r="D458" s="11" t="s">
        <v>1369</v>
      </c>
      <c r="E458" s="13">
        <v>800</v>
      </c>
      <c r="F458" s="13">
        <v>800</v>
      </c>
      <c r="G458" s="7">
        <f t="shared" si="7"/>
        <v>1</v>
      </c>
      <c r="H458" s="13">
        <v>92</v>
      </c>
      <c r="I458" s="13">
        <v>222</v>
      </c>
      <c r="J458" s="13">
        <v>314</v>
      </c>
      <c r="K458" s="13">
        <v>1.895E-4</v>
      </c>
    </row>
    <row r="459" spans="1:11" ht="164" customHeight="1" x14ac:dyDescent="0.15">
      <c r="A459" s="9">
        <v>496</v>
      </c>
      <c r="B459" s="10" t="s">
        <v>1370</v>
      </c>
      <c r="C459" s="11" t="s">
        <v>1371</v>
      </c>
      <c r="D459" s="11" t="s">
        <v>1372</v>
      </c>
      <c r="E459" s="13">
        <v>600</v>
      </c>
      <c r="F459" s="13">
        <v>600</v>
      </c>
      <c r="G459" s="7">
        <f t="shared" si="7"/>
        <v>1</v>
      </c>
      <c r="H459" s="13">
        <v>111</v>
      </c>
      <c r="I459" s="13">
        <v>173</v>
      </c>
      <c r="J459" s="13">
        <v>284</v>
      </c>
      <c r="K459" s="13">
        <v>1.1092E-4</v>
      </c>
    </row>
    <row r="460" spans="1:11" ht="152" customHeight="1" x14ac:dyDescent="0.15">
      <c r="A460" s="9">
        <v>4041</v>
      </c>
      <c r="B460" s="10" t="s">
        <v>1373</v>
      </c>
      <c r="C460" s="11" t="s">
        <v>1374</v>
      </c>
      <c r="D460" s="11" t="s">
        <v>1375</v>
      </c>
      <c r="E460" s="13">
        <v>2</v>
      </c>
      <c r="F460" s="13">
        <v>2</v>
      </c>
      <c r="G460" s="7">
        <f t="shared" si="7"/>
        <v>1</v>
      </c>
      <c r="H460" s="13">
        <v>66</v>
      </c>
      <c r="I460" s="13">
        <v>143</v>
      </c>
      <c r="J460" s="13">
        <v>209</v>
      </c>
      <c r="K460" s="13">
        <v>1.584E-4</v>
      </c>
    </row>
    <row r="461" spans="1:11" ht="56" customHeight="1" x14ac:dyDescent="0.15">
      <c r="A461" s="9">
        <v>2673</v>
      </c>
      <c r="B461" s="10" t="s">
        <v>1376</v>
      </c>
      <c r="C461" s="11" t="s">
        <v>1377</v>
      </c>
      <c r="D461" s="11" t="s">
        <v>41</v>
      </c>
      <c r="E461" s="12">
        <v>70</v>
      </c>
      <c r="F461" s="13">
        <v>70</v>
      </c>
      <c r="G461" s="7">
        <f t="shared" si="7"/>
        <v>1</v>
      </c>
      <c r="H461" s="13">
        <v>68</v>
      </c>
      <c r="I461" s="13">
        <v>4</v>
      </c>
      <c r="J461" s="13">
        <v>72</v>
      </c>
      <c r="K461" s="16">
        <v>8.0800000000000006E-6</v>
      </c>
    </row>
    <row r="462" spans="1:11" ht="56" customHeight="1" x14ac:dyDescent="0.15">
      <c r="A462" s="9">
        <v>5825</v>
      </c>
      <c r="B462" s="10" t="s">
        <v>1378</v>
      </c>
      <c r="C462" s="11" t="s">
        <v>1379</v>
      </c>
      <c r="D462" s="11" t="s">
        <v>1380</v>
      </c>
      <c r="E462" s="13">
        <v>20</v>
      </c>
      <c r="F462" s="13">
        <v>20</v>
      </c>
      <c r="G462" s="7">
        <f t="shared" si="7"/>
        <v>1</v>
      </c>
      <c r="H462" s="13">
        <v>91</v>
      </c>
      <c r="I462" s="13">
        <v>52</v>
      </c>
      <c r="J462" s="13">
        <v>143</v>
      </c>
      <c r="K462" s="15">
        <v>3.3084999999999999E-5</v>
      </c>
    </row>
    <row r="463" spans="1:11" ht="272" customHeight="1" x14ac:dyDescent="0.15">
      <c r="A463" s="9">
        <v>6006</v>
      </c>
      <c r="B463" s="10" t="s">
        <v>1381</v>
      </c>
      <c r="C463" s="11" t="s">
        <v>1382</v>
      </c>
      <c r="D463" s="11" t="s">
        <v>1383</v>
      </c>
      <c r="E463" s="13">
        <v>90</v>
      </c>
      <c r="F463" s="13">
        <v>90</v>
      </c>
      <c r="G463" s="7">
        <f t="shared" si="7"/>
        <v>1</v>
      </c>
      <c r="H463" s="13">
        <v>101</v>
      </c>
      <c r="I463" s="13">
        <v>276</v>
      </c>
      <c r="J463" s="13">
        <v>377</v>
      </c>
      <c r="K463" s="14">
        <v>9.8419999999999996E-5</v>
      </c>
    </row>
    <row r="464" spans="1:11" ht="188" customHeight="1" x14ac:dyDescent="0.15">
      <c r="A464" s="9">
        <v>6050</v>
      </c>
      <c r="B464" s="10" t="s">
        <v>1384</v>
      </c>
      <c r="C464" s="11" t="s">
        <v>1385</v>
      </c>
      <c r="D464" s="11" t="s">
        <v>1386</v>
      </c>
      <c r="E464" s="13">
        <v>14</v>
      </c>
      <c r="F464" s="13">
        <v>14</v>
      </c>
      <c r="G464" s="7">
        <f t="shared" si="7"/>
        <v>1</v>
      </c>
      <c r="H464" s="13">
        <v>55</v>
      </c>
      <c r="I464" s="13">
        <v>119</v>
      </c>
      <c r="J464" s="13">
        <v>174</v>
      </c>
      <c r="K464" s="14">
        <v>4.3579999999999999E-5</v>
      </c>
    </row>
    <row r="465" spans="1:11" ht="200" customHeight="1" x14ac:dyDescent="0.15">
      <c r="A465" s="9">
        <v>321</v>
      </c>
      <c r="B465" s="10" t="s">
        <v>1387</v>
      </c>
      <c r="C465" s="11" t="s">
        <v>1388</v>
      </c>
      <c r="D465" s="11" t="s">
        <v>1389</v>
      </c>
      <c r="E465" s="13">
        <v>14000</v>
      </c>
      <c r="F465" s="13">
        <v>15400</v>
      </c>
      <c r="G465" s="7">
        <f t="shared" si="7"/>
        <v>0</v>
      </c>
      <c r="H465" s="13">
        <v>86</v>
      </c>
      <c r="I465" s="13">
        <v>170</v>
      </c>
      <c r="J465" s="13">
        <v>256</v>
      </c>
      <c r="K465" s="13">
        <v>1.8432E-4</v>
      </c>
    </row>
    <row r="466" spans="1:11" ht="224" customHeight="1" x14ac:dyDescent="0.15">
      <c r="A466" s="9">
        <v>4201</v>
      </c>
      <c r="B466" s="10" t="s">
        <v>1390</v>
      </c>
      <c r="C466" s="11" t="s">
        <v>1391</v>
      </c>
      <c r="D466" s="11" t="s">
        <v>1392</v>
      </c>
      <c r="E466" s="13">
        <v>30</v>
      </c>
      <c r="F466" s="13">
        <v>30</v>
      </c>
      <c r="G466" s="7">
        <f t="shared" si="7"/>
        <v>1</v>
      </c>
      <c r="H466" s="13">
        <v>135</v>
      </c>
      <c r="I466" s="13">
        <v>246</v>
      </c>
      <c r="J466" s="13">
        <v>381</v>
      </c>
      <c r="K466" s="13">
        <v>1.527E-4</v>
      </c>
    </row>
    <row r="467" spans="1:11" ht="164" customHeight="1" x14ac:dyDescent="0.15">
      <c r="A467" s="9">
        <v>1370</v>
      </c>
      <c r="B467" s="10" t="s">
        <v>1393</v>
      </c>
      <c r="C467" s="11" t="s">
        <v>1394</v>
      </c>
      <c r="D467" s="11" t="s">
        <v>1395</v>
      </c>
      <c r="E467" s="13">
        <v>2</v>
      </c>
      <c r="F467" s="13">
        <v>2</v>
      </c>
      <c r="G467" s="7">
        <f t="shared" si="7"/>
        <v>1</v>
      </c>
      <c r="H467" s="13">
        <v>83</v>
      </c>
      <c r="I467" s="13">
        <v>162</v>
      </c>
      <c r="J467" s="13">
        <v>245</v>
      </c>
      <c r="K467" s="14">
        <v>6.0139999999999997E-5</v>
      </c>
    </row>
    <row r="468" spans="1:11" ht="248" customHeight="1" x14ac:dyDescent="0.15">
      <c r="A468" s="9">
        <v>5576</v>
      </c>
      <c r="B468" s="10" t="s">
        <v>1396</v>
      </c>
      <c r="C468" s="11" t="s">
        <v>1397</v>
      </c>
      <c r="D468" s="11" t="s">
        <v>1398</v>
      </c>
      <c r="E468" s="13">
        <v>111</v>
      </c>
      <c r="F468" s="13">
        <v>111</v>
      </c>
      <c r="G468" s="7">
        <f t="shared" si="7"/>
        <v>1</v>
      </c>
      <c r="H468" s="13">
        <v>71</v>
      </c>
      <c r="I468" s="13">
        <v>217</v>
      </c>
      <c r="J468" s="13">
        <v>288</v>
      </c>
      <c r="K468" s="13">
        <v>2.2724999999999999E-4</v>
      </c>
    </row>
    <row r="469" spans="1:11" ht="44" customHeight="1" x14ac:dyDescent="0.15">
      <c r="A469" s="9">
        <v>5221</v>
      </c>
      <c r="B469" s="10" t="s">
        <v>1399</v>
      </c>
      <c r="C469" s="11" t="s">
        <v>1400</v>
      </c>
      <c r="D469" s="11" t="s">
        <v>1401</v>
      </c>
      <c r="E469" s="12">
        <v>10</v>
      </c>
      <c r="F469" s="13">
        <v>10</v>
      </c>
      <c r="G469" s="7">
        <f t="shared" si="7"/>
        <v>1</v>
      </c>
      <c r="H469" s="13">
        <v>68</v>
      </c>
      <c r="I469" s="13">
        <v>60</v>
      </c>
      <c r="J469" s="13">
        <v>128</v>
      </c>
      <c r="K469" s="14">
        <v>3.3179999999999997E-5</v>
      </c>
    </row>
    <row r="470" spans="1:11" ht="140" customHeight="1" x14ac:dyDescent="0.15">
      <c r="A470" s="9">
        <v>7296</v>
      </c>
      <c r="B470" s="10" t="s">
        <v>1402</v>
      </c>
      <c r="C470" s="11" t="s">
        <v>1403</v>
      </c>
      <c r="D470" s="11" t="s">
        <v>1404</v>
      </c>
      <c r="E470" s="13">
        <v>5</v>
      </c>
      <c r="F470" s="13">
        <v>5</v>
      </c>
      <c r="G470" s="7">
        <f t="shared" si="7"/>
        <v>1</v>
      </c>
      <c r="H470" s="13">
        <v>64</v>
      </c>
      <c r="I470" s="13">
        <v>158</v>
      </c>
      <c r="J470" s="13">
        <v>222</v>
      </c>
      <c r="K470" s="14">
        <v>7.1840000000000003E-5</v>
      </c>
    </row>
    <row r="471" spans="1:11" ht="409.5" customHeight="1" x14ac:dyDescent="0.15">
      <c r="A471" s="9">
        <v>1544</v>
      </c>
      <c r="B471" s="10" t="s">
        <v>1405</v>
      </c>
      <c r="C471" s="11" t="s">
        <v>1406</v>
      </c>
      <c r="D471" s="11" t="s">
        <v>1407</v>
      </c>
      <c r="E471" s="13">
        <v>867</v>
      </c>
      <c r="F471" s="13">
        <v>867</v>
      </c>
      <c r="G471" s="7">
        <f t="shared" si="7"/>
        <v>1</v>
      </c>
      <c r="H471" s="13">
        <v>85</v>
      </c>
      <c r="I471" s="13">
        <v>382</v>
      </c>
      <c r="J471" s="13">
        <v>467</v>
      </c>
      <c r="K471" s="13">
        <v>1.64275E-4</v>
      </c>
    </row>
    <row r="472" spans="1:11" ht="44" customHeight="1" x14ac:dyDescent="0.15">
      <c r="A472" s="9">
        <v>6086</v>
      </c>
      <c r="B472" s="10" t="s">
        <v>1408</v>
      </c>
      <c r="C472" s="11" t="s">
        <v>1409</v>
      </c>
      <c r="D472" s="11" t="s">
        <v>1410</v>
      </c>
      <c r="E472" s="12">
        <v>21</v>
      </c>
      <c r="F472" s="13">
        <v>21</v>
      </c>
      <c r="G472" s="7">
        <f t="shared" si="7"/>
        <v>1</v>
      </c>
      <c r="H472" s="13">
        <v>61</v>
      </c>
      <c r="I472" s="13">
        <v>6</v>
      </c>
      <c r="J472" s="13">
        <v>67</v>
      </c>
      <c r="K472" s="15">
        <v>1.0635000000000001E-5</v>
      </c>
    </row>
    <row r="473" spans="1:11" ht="200" customHeight="1" x14ac:dyDescent="0.15">
      <c r="A473" s="9">
        <v>3353</v>
      </c>
      <c r="B473" s="10" t="s">
        <v>1411</v>
      </c>
      <c r="C473" s="11" t="s">
        <v>1412</v>
      </c>
      <c r="D473" s="11" t="s">
        <v>1413</v>
      </c>
      <c r="E473" s="13">
        <v>357</v>
      </c>
      <c r="F473" s="13">
        <v>357</v>
      </c>
      <c r="G473" s="7">
        <f t="shared" si="7"/>
        <v>1</v>
      </c>
      <c r="H473" s="13">
        <v>54</v>
      </c>
      <c r="I473" s="13">
        <v>184</v>
      </c>
      <c r="J473" s="13">
        <v>238</v>
      </c>
      <c r="K473" s="14">
        <v>8.0890000000000006E-5</v>
      </c>
    </row>
    <row r="474" spans="1:11" ht="176" customHeight="1" x14ac:dyDescent="0.15">
      <c r="A474" s="9">
        <v>4307</v>
      </c>
      <c r="B474" s="10" t="s">
        <v>1414</v>
      </c>
      <c r="C474" s="11" t="s">
        <v>1415</v>
      </c>
      <c r="D474" s="11" t="s">
        <v>1416</v>
      </c>
      <c r="E474" s="21">
        <v>360000</v>
      </c>
      <c r="F474" s="13">
        <v>360000</v>
      </c>
      <c r="G474" s="7">
        <f t="shared" si="7"/>
        <v>1</v>
      </c>
      <c r="H474" s="13">
        <v>94</v>
      </c>
      <c r="I474" s="13">
        <v>178</v>
      </c>
      <c r="J474" s="13">
        <v>272</v>
      </c>
      <c r="K474" s="14">
        <v>8.3889999999999998E-5</v>
      </c>
    </row>
    <row r="475" spans="1:11" ht="140" customHeight="1" x14ac:dyDescent="0.15">
      <c r="A475" s="9">
        <v>7359</v>
      </c>
      <c r="B475" s="10" t="s">
        <v>1417</v>
      </c>
      <c r="C475" s="11" t="s">
        <v>1418</v>
      </c>
      <c r="D475" s="11" t="s">
        <v>1419</v>
      </c>
      <c r="E475" s="13">
        <v>20</v>
      </c>
      <c r="F475" s="13">
        <v>20</v>
      </c>
      <c r="G475" s="7">
        <f t="shared" si="7"/>
        <v>1</v>
      </c>
      <c r="H475" s="13">
        <v>105</v>
      </c>
      <c r="I475" s="13">
        <v>133</v>
      </c>
      <c r="J475" s="13">
        <v>238</v>
      </c>
      <c r="K475" s="16">
        <v>8.9599999999999996E-5</v>
      </c>
    </row>
    <row r="476" spans="1:11" ht="44" customHeight="1" x14ac:dyDescent="0.15">
      <c r="A476" s="9">
        <v>2476</v>
      </c>
      <c r="B476" s="10" t="s">
        <v>1420</v>
      </c>
      <c r="C476" s="11" t="s">
        <v>1421</v>
      </c>
      <c r="D476" s="11" t="s">
        <v>1422</v>
      </c>
      <c r="E476" s="13">
        <v>2000</v>
      </c>
      <c r="F476" s="13">
        <v>2000</v>
      </c>
      <c r="G476" s="7">
        <f t="shared" si="7"/>
        <v>1</v>
      </c>
      <c r="H476" s="13">
        <v>56</v>
      </c>
      <c r="I476" s="13">
        <v>5</v>
      </c>
      <c r="J476" s="13">
        <v>61</v>
      </c>
      <c r="K476" s="17">
        <v>7.1999999999999997E-6</v>
      </c>
    </row>
    <row r="477" spans="1:11" ht="212" customHeight="1" x14ac:dyDescent="0.15">
      <c r="A477" s="9">
        <v>3656</v>
      </c>
      <c r="B477" s="10" t="s">
        <v>1423</v>
      </c>
      <c r="C477" s="11" t="s">
        <v>1424</v>
      </c>
      <c r="D477" s="11" t="s">
        <v>1425</v>
      </c>
      <c r="E477" s="13">
        <v>10</v>
      </c>
      <c r="F477" s="13">
        <v>10</v>
      </c>
      <c r="G477" s="7">
        <f t="shared" si="7"/>
        <v>1</v>
      </c>
      <c r="H477" s="13">
        <v>72</v>
      </c>
      <c r="I477" s="13">
        <v>202</v>
      </c>
      <c r="J477" s="13">
        <v>274</v>
      </c>
      <c r="K477" s="14">
        <v>7.1840000000000003E-5</v>
      </c>
    </row>
    <row r="478" spans="1:11" ht="248" customHeight="1" x14ac:dyDescent="0.15">
      <c r="A478" s="9">
        <v>3316</v>
      </c>
      <c r="B478" s="10" t="s">
        <v>1426</v>
      </c>
      <c r="C478" s="11" t="s">
        <v>1427</v>
      </c>
      <c r="D478" s="11" t="s">
        <v>1428</v>
      </c>
      <c r="E478" s="13">
        <v>85</v>
      </c>
      <c r="F478" s="13">
        <v>85</v>
      </c>
      <c r="G478" s="7">
        <f t="shared" si="7"/>
        <v>1</v>
      </c>
      <c r="H478" s="13">
        <v>110</v>
      </c>
      <c r="I478" s="13">
        <v>273</v>
      </c>
      <c r="J478" s="13">
        <v>383</v>
      </c>
      <c r="K478" s="13">
        <v>6.4729900000000005E-4</v>
      </c>
    </row>
    <row r="479" spans="1:11" ht="296" customHeight="1" x14ac:dyDescent="0.15">
      <c r="A479" s="9">
        <v>6584</v>
      </c>
      <c r="B479" s="10" t="s">
        <v>1429</v>
      </c>
      <c r="C479" s="11" t="s">
        <v>1430</v>
      </c>
      <c r="D479" s="11" t="s">
        <v>1431</v>
      </c>
      <c r="E479" s="12">
        <v>558</v>
      </c>
      <c r="F479" s="13">
        <v>558</v>
      </c>
      <c r="G479" s="7">
        <f t="shared" si="7"/>
        <v>1</v>
      </c>
      <c r="H479" s="13">
        <v>89</v>
      </c>
      <c r="I479" s="13">
        <v>279</v>
      </c>
      <c r="J479" s="13">
        <v>368</v>
      </c>
      <c r="K479" s="14">
        <v>9.8179999999999999E-5</v>
      </c>
    </row>
    <row r="480" spans="1:11" ht="44" customHeight="1" x14ac:dyDescent="0.15">
      <c r="A480" s="9">
        <v>3539</v>
      </c>
      <c r="B480" s="10" t="s">
        <v>1432</v>
      </c>
      <c r="C480" s="11" t="s">
        <v>1433</v>
      </c>
      <c r="D480" s="11" t="s">
        <v>1434</v>
      </c>
      <c r="E480" s="12">
        <v>35</v>
      </c>
      <c r="F480" s="13">
        <v>35</v>
      </c>
      <c r="G480" s="7">
        <f t="shared" si="7"/>
        <v>1</v>
      </c>
      <c r="H480" s="13">
        <v>86</v>
      </c>
      <c r="I480" s="13">
        <v>4</v>
      </c>
      <c r="J480" s="13">
        <v>90</v>
      </c>
      <c r="K480" s="14">
        <v>2.092E-5</v>
      </c>
    </row>
    <row r="481" spans="1:11" ht="224" customHeight="1" x14ac:dyDescent="0.15">
      <c r="A481" s="9">
        <v>554</v>
      </c>
      <c r="B481" s="10" t="s">
        <v>1435</v>
      </c>
      <c r="C481" s="11" t="s">
        <v>1436</v>
      </c>
      <c r="D481" s="11" t="s">
        <v>1437</v>
      </c>
      <c r="E481" s="13">
        <v>50</v>
      </c>
      <c r="F481" s="13">
        <v>50</v>
      </c>
      <c r="G481" s="7">
        <f t="shared" si="7"/>
        <v>1</v>
      </c>
      <c r="H481" s="13">
        <v>67</v>
      </c>
      <c r="I481" s="13">
        <v>243</v>
      </c>
      <c r="J481" s="13">
        <v>310</v>
      </c>
      <c r="K481" s="13">
        <v>1.06245E-4</v>
      </c>
    </row>
    <row r="482" spans="1:11" ht="56" customHeight="1" x14ac:dyDescent="0.15">
      <c r="A482" s="9">
        <v>3905</v>
      </c>
      <c r="B482" s="10" t="s">
        <v>1438</v>
      </c>
      <c r="C482" s="11" t="s">
        <v>1439</v>
      </c>
      <c r="D482" s="11" t="s">
        <v>1306</v>
      </c>
      <c r="E482" s="12"/>
      <c r="F482" s="13">
        <v>300</v>
      </c>
      <c r="G482" s="7">
        <f t="shared" si="7"/>
        <v>0</v>
      </c>
      <c r="H482" s="13">
        <v>49</v>
      </c>
      <c r="I482" s="13">
        <v>4</v>
      </c>
      <c r="J482" s="13">
        <v>53</v>
      </c>
      <c r="K482" s="14">
        <v>8.2150000000000001E-6</v>
      </c>
    </row>
    <row r="483" spans="1:11" ht="176" customHeight="1" x14ac:dyDescent="0.15">
      <c r="A483" s="9">
        <v>4647</v>
      </c>
      <c r="B483" s="10" t="s">
        <v>1440</v>
      </c>
      <c r="C483" s="11" t="s">
        <v>1441</v>
      </c>
      <c r="D483" s="11" t="s">
        <v>1442</v>
      </c>
      <c r="E483" s="13">
        <v>4500</v>
      </c>
      <c r="F483" s="13">
        <v>4500</v>
      </c>
      <c r="G483" s="7">
        <f t="shared" si="7"/>
        <v>1</v>
      </c>
      <c r="H483" s="13">
        <v>100</v>
      </c>
      <c r="I483" s="13">
        <v>164</v>
      </c>
      <c r="J483" s="13">
        <v>264</v>
      </c>
      <c r="K483" s="16">
        <v>7.9099999999999998E-5</v>
      </c>
    </row>
    <row r="484" spans="1:11" ht="164" customHeight="1" x14ac:dyDescent="0.15">
      <c r="A484" s="9">
        <v>233</v>
      </c>
      <c r="B484" s="10" t="s">
        <v>1443</v>
      </c>
      <c r="C484" s="11" t="s">
        <v>1444</v>
      </c>
      <c r="D484" s="11" t="s">
        <v>1445</v>
      </c>
      <c r="E484" s="13">
        <v>40</v>
      </c>
      <c r="F484" s="13">
        <v>40</v>
      </c>
      <c r="G484" s="7">
        <f t="shared" si="7"/>
        <v>1</v>
      </c>
      <c r="H484" s="13">
        <v>81</v>
      </c>
      <c r="I484" s="13">
        <v>182</v>
      </c>
      <c r="J484" s="13">
        <v>263</v>
      </c>
      <c r="K484" s="13">
        <v>1.0882000000000001E-4</v>
      </c>
    </row>
    <row r="485" spans="1:11" ht="164" customHeight="1" x14ac:dyDescent="0.15">
      <c r="A485" s="9">
        <v>65</v>
      </c>
      <c r="B485" s="10" t="s">
        <v>1446</v>
      </c>
      <c r="C485" s="11" t="s">
        <v>1447</v>
      </c>
      <c r="D485" s="11" t="s">
        <v>1448</v>
      </c>
      <c r="E485" s="13">
        <v>558</v>
      </c>
      <c r="F485" s="13">
        <v>558</v>
      </c>
      <c r="G485" s="7">
        <f t="shared" si="7"/>
        <v>1</v>
      </c>
      <c r="H485" s="13">
        <v>69</v>
      </c>
      <c r="I485" s="13">
        <v>149</v>
      </c>
      <c r="J485" s="13">
        <v>218</v>
      </c>
      <c r="K485" s="14">
        <v>8.9679999999999995E-5</v>
      </c>
    </row>
    <row r="486" spans="1:11" ht="224" customHeight="1" x14ac:dyDescent="0.15">
      <c r="A486" s="9">
        <v>6724</v>
      </c>
      <c r="B486" s="10" t="s">
        <v>1449</v>
      </c>
      <c r="C486" s="11" t="s">
        <v>1450</v>
      </c>
      <c r="D486" s="11" t="s">
        <v>1451</v>
      </c>
      <c r="E486" s="13">
        <v>146</v>
      </c>
      <c r="F486" s="13">
        <v>146</v>
      </c>
      <c r="G486" s="7">
        <f t="shared" si="7"/>
        <v>1</v>
      </c>
      <c r="H486" s="13">
        <v>69</v>
      </c>
      <c r="I486" s="13">
        <v>262</v>
      </c>
      <c r="J486" s="13">
        <v>331</v>
      </c>
      <c r="K486" s="13">
        <v>1.4618000000000001E-4</v>
      </c>
    </row>
    <row r="487" spans="1:11" ht="212" customHeight="1" x14ac:dyDescent="0.15">
      <c r="A487" s="9">
        <v>2458</v>
      </c>
      <c r="B487" s="10" t="s">
        <v>1452</v>
      </c>
      <c r="C487" s="11" t="s">
        <v>1453</v>
      </c>
      <c r="D487" s="11" t="s">
        <v>1454</v>
      </c>
      <c r="E487" s="13">
        <v>2888</v>
      </c>
      <c r="F487" s="13">
        <v>2888</v>
      </c>
      <c r="G487" s="7">
        <f t="shared" si="7"/>
        <v>1</v>
      </c>
      <c r="H487" s="13">
        <v>95</v>
      </c>
      <c r="I487" s="13">
        <v>195</v>
      </c>
      <c r="J487" s="13">
        <v>290</v>
      </c>
      <c r="K487" s="13">
        <v>2.1824999999999999E-4</v>
      </c>
    </row>
    <row r="488" spans="1:11" ht="116" customHeight="1" x14ac:dyDescent="0.15">
      <c r="A488" s="9">
        <v>4615</v>
      </c>
      <c r="B488" s="10" t="s">
        <v>1455</v>
      </c>
      <c r="C488" s="11" t="s">
        <v>1456</v>
      </c>
      <c r="D488" s="11" t="s">
        <v>1457</v>
      </c>
      <c r="E488" s="13">
        <v>18</v>
      </c>
      <c r="F488" s="13">
        <v>18</v>
      </c>
      <c r="G488" s="7">
        <f t="shared" si="7"/>
        <v>1</v>
      </c>
      <c r="H488" s="13">
        <v>60</v>
      </c>
      <c r="I488" s="13">
        <v>116</v>
      </c>
      <c r="J488" s="13">
        <v>176</v>
      </c>
      <c r="K488" s="14">
        <v>4.3120000000000001E-5</v>
      </c>
    </row>
    <row r="489" spans="1:11" ht="44" customHeight="1" x14ac:dyDescent="0.15">
      <c r="A489" s="9">
        <v>6151</v>
      </c>
      <c r="B489" s="10" t="s">
        <v>1458</v>
      </c>
      <c r="C489" s="11" t="s">
        <v>1459</v>
      </c>
      <c r="D489" s="11" t="s">
        <v>200</v>
      </c>
      <c r="E489" s="12">
        <v>6</v>
      </c>
      <c r="F489" s="13">
        <v>6</v>
      </c>
      <c r="G489" s="7">
        <f t="shared" si="7"/>
        <v>1</v>
      </c>
      <c r="H489" s="13">
        <v>57</v>
      </c>
      <c r="I489" s="13">
        <v>4</v>
      </c>
      <c r="J489" s="13">
        <v>61</v>
      </c>
      <c r="K489" s="14">
        <v>1.7249999999999999E-5</v>
      </c>
    </row>
    <row r="490" spans="1:11" ht="200" customHeight="1" x14ac:dyDescent="0.15">
      <c r="A490" s="9">
        <v>3554</v>
      </c>
      <c r="B490" s="10" t="s">
        <v>1460</v>
      </c>
      <c r="C490" s="11" t="s">
        <v>1461</v>
      </c>
      <c r="D490" s="11" t="s">
        <v>1462</v>
      </c>
      <c r="E490" s="13">
        <v>15</v>
      </c>
      <c r="F490" s="13">
        <v>15</v>
      </c>
      <c r="G490" s="7">
        <f t="shared" si="7"/>
        <v>1</v>
      </c>
      <c r="H490" s="13">
        <v>58</v>
      </c>
      <c r="I490" s="13">
        <v>216</v>
      </c>
      <c r="J490" s="13">
        <v>274</v>
      </c>
      <c r="K490" s="14">
        <v>7.4919999999999994E-5</v>
      </c>
    </row>
    <row r="491" spans="1:11" ht="44" customHeight="1" x14ac:dyDescent="0.15">
      <c r="A491" s="9">
        <v>7345</v>
      </c>
      <c r="B491" s="10" t="s">
        <v>1463</v>
      </c>
      <c r="C491" s="11" t="s">
        <v>1464</v>
      </c>
      <c r="D491" s="11" t="s">
        <v>1465</v>
      </c>
      <c r="E491" s="12">
        <v>24</v>
      </c>
      <c r="F491" s="13">
        <v>24</v>
      </c>
      <c r="G491" s="7">
        <f t="shared" si="7"/>
        <v>1</v>
      </c>
      <c r="H491" s="13">
        <v>81</v>
      </c>
      <c r="I491" s="13">
        <v>4</v>
      </c>
      <c r="J491" s="13">
        <v>85</v>
      </c>
      <c r="K491" s="14">
        <v>1.668E-5</v>
      </c>
    </row>
    <row r="492" spans="1:11" ht="296" customHeight="1" x14ac:dyDescent="0.15">
      <c r="A492" s="9">
        <v>4407</v>
      </c>
      <c r="B492" s="10" t="s">
        <v>1466</v>
      </c>
      <c r="C492" s="11" t="s">
        <v>1467</v>
      </c>
      <c r="D492" s="11" t="s">
        <v>1468</v>
      </c>
      <c r="E492" s="13">
        <v>6600</v>
      </c>
      <c r="F492" s="12">
        <v>6600</v>
      </c>
      <c r="G492" s="7">
        <f t="shared" si="7"/>
        <v>1</v>
      </c>
      <c r="H492" s="13">
        <v>96</v>
      </c>
      <c r="I492" s="13">
        <v>329</v>
      </c>
      <c r="J492" s="13">
        <v>425</v>
      </c>
      <c r="K492" s="13">
        <v>2.7074999999999999E-4</v>
      </c>
    </row>
    <row r="493" spans="1:11" ht="176" customHeight="1" x14ac:dyDescent="0.15">
      <c r="A493" s="9">
        <v>1790</v>
      </c>
      <c r="B493" s="10" t="s">
        <v>1469</v>
      </c>
      <c r="C493" s="11" t="s">
        <v>1470</v>
      </c>
      <c r="D493" s="11" t="s">
        <v>1471</v>
      </c>
      <c r="E493" s="13">
        <v>21000</v>
      </c>
      <c r="F493" s="13">
        <v>21000</v>
      </c>
      <c r="G493" s="7">
        <f t="shared" si="7"/>
        <v>1</v>
      </c>
      <c r="H493" s="13">
        <v>88</v>
      </c>
      <c r="I493" s="13">
        <v>207</v>
      </c>
      <c r="J493" s="13">
        <v>295</v>
      </c>
      <c r="K493" s="14">
        <v>7.504E-5</v>
      </c>
    </row>
    <row r="494" spans="1:11" ht="164" customHeight="1" x14ac:dyDescent="0.15">
      <c r="A494" s="9">
        <v>381</v>
      </c>
      <c r="B494" s="10" t="s">
        <v>1472</v>
      </c>
      <c r="C494" s="11" t="s">
        <v>1473</v>
      </c>
      <c r="D494" s="11" t="s">
        <v>1474</v>
      </c>
      <c r="E494" s="13">
        <v>75</v>
      </c>
      <c r="F494" s="13">
        <v>75</v>
      </c>
      <c r="G494" s="7">
        <f t="shared" si="7"/>
        <v>1</v>
      </c>
      <c r="H494" s="13">
        <v>79</v>
      </c>
      <c r="I494" s="13">
        <v>141</v>
      </c>
      <c r="J494" s="13">
        <v>220</v>
      </c>
      <c r="K494" s="14">
        <v>5.3019999999999997E-5</v>
      </c>
    </row>
    <row r="495" spans="1:11" ht="236" customHeight="1" x14ac:dyDescent="0.15">
      <c r="A495" s="9">
        <v>7136</v>
      </c>
      <c r="B495" s="10" t="s">
        <v>1475</v>
      </c>
      <c r="C495" s="11" t="s">
        <v>1476</v>
      </c>
      <c r="D495" s="11" t="s">
        <v>1477</v>
      </c>
      <c r="E495" s="13">
        <v>168</v>
      </c>
      <c r="F495" s="13">
        <v>168</v>
      </c>
      <c r="G495" s="7">
        <f t="shared" si="7"/>
        <v>1</v>
      </c>
      <c r="H495" s="13">
        <v>67</v>
      </c>
      <c r="I495" s="13">
        <v>226</v>
      </c>
      <c r="J495" s="13">
        <v>293</v>
      </c>
      <c r="K495" s="14">
        <v>7.9019999999999999E-5</v>
      </c>
    </row>
    <row r="496" spans="1:11" ht="56" customHeight="1" x14ac:dyDescent="0.15">
      <c r="A496" s="9">
        <v>4427</v>
      </c>
      <c r="B496" s="10" t="s">
        <v>1478</v>
      </c>
      <c r="C496" s="11" t="s">
        <v>1479</v>
      </c>
      <c r="D496" s="11" t="s">
        <v>1480</v>
      </c>
      <c r="E496" s="12"/>
      <c r="F496" s="13">
        <v>58</v>
      </c>
      <c r="G496" s="7">
        <f t="shared" si="7"/>
        <v>0</v>
      </c>
      <c r="H496" s="13">
        <v>72</v>
      </c>
      <c r="I496" s="13">
        <v>4</v>
      </c>
      <c r="J496" s="13">
        <v>76</v>
      </c>
      <c r="K496" s="14">
        <v>1.7839999999999999E-5</v>
      </c>
    </row>
    <row r="497" spans="1:11" ht="188" customHeight="1" x14ac:dyDescent="0.15">
      <c r="A497" s="9">
        <v>4928</v>
      </c>
      <c r="B497" s="10" t="s">
        <v>1481</v>
      </c>
      <c r="C497" s="11" t="s">
        <v>1482</v>
      </c>
      <c r="D497" s="11" t="s">
        <v>1483</v>
      </c>
      <c r="E497" s="13">
        <v>480</v>
      </c>
      <c r="F497" s="13">
        <v>480</v>
      </c>
      <c r="G497" s="7">
        <f t="shared" si="7"/>
        <v>1</v>
      </c>
      <c r="H497" s="13">
        <v>65</v>
      </c>
      <c r="I497" s="13">
        <v>178</v>
      </c>
      <c r="J497" s="13">
        <v>243</v>
      </c>
      <c r="K497" s="13">
        <v>1.033E-4</v>
      </c>
    </row>
    <row r="498" spans="1:11" ht="176" customHeight="1" x14ac:dyDescent="0.15">
      <c r="A498" s="9">
        <v>4554</v>
      </c>
      <c r="B498" s="10" t="s">
        <v>1484</v>
      </c>
      <c r="C498" s="11" t="s">
        <v>1485</v>
      </c>
      <c r="D498" s="11" t="s">
        <v>1486</v>
      </c>
      <c r="E498" s="13">
        <v>51</v>
      </c>
      <c r="F498" s="13">
        <v>51</v>
      </c>
      <c r="G498" s="7">
        <f t="shared" si="7"/>
        <v>1</v>
      </c>
      <c r="H498" s="13">
        <v>140</v>
      </c>
      <c r="I498" s="13">
        <v>179</v>
      </c>
      <c r="J498" s="13">
        <v>319</v>
      </c>
      <c r="K498" s="13">
        <v>2.2400999999999999E-4</v>
      </c>
    </row>
    <row r="499" spans="1:11" ht="224" customHeight="1" x14ac:dyDescent="0.15">
      <c r="A499" s="9">
        <v>7284</v>
      </c>
      <c r="B499" s="10" t="s">
        <v>1487</v>
      </c>
      <c r="C499" s="11" t="s">
        <v>1488</v>
      </c>
      <c r="D499" s="11" t="s">
        <v>1489</v>
      </c>
      <c r="E499" s="13">
        <v>16</v>
      </c>
      <c r="F499" s="13">
        <v>16</v>
      </c>
      <c r="G499" s="7">
        <f t="shared" si="7"/>
        <v>1</v>
      </c>
      <c r="H499" s="13">
        <v>98</v>
      </c>
      <c r="I499" s="13">
        <v>192</v>
      </c>
      <c r="J499" s="13">
        <v>290</v>
      </c>
      <c r="K499" s="14">
        <v>7.1240000000000002E-5</v>
      </c>
    </row>
    <row r="500" spans="1:11" ht="116" customHeight="1" x14ac:dyDescent="0.15">
      <c r="A500" s="9">
        <v>217</v>
      </c>
      <c r="B500" s="10" t="s">
        <v>1490</v>
      </c>
      <c r="C500" s="11" t="s">
        <v>1491</v>
      </c>
      <c r="D500" s="11" t="s">
        <v>1492</v>
      </c>
      <c r="E500" s="13">
        <v>96</v>
      </c>
      <c r="F500" s="13">
        <v>96</v>
      </c>
      <c r="G500" s="7">
        <f t="shared" si="7"/>
        <v>1</v>
      </c>
      <c r="H500" s="13">
        <v>86</v>
      </c>
      <c r="I500" s="13">
        <v>115</v>
      </c>
      <c r="J500" s="13">
        <v>201</v>
      </c>
      <c r="K500" s="16">
        <v>7.3800000000000005E-5</v>
      </c>
    </row>
    <row r="501" spans="1:11" ht="409.5" customHeight="1" x14ac:dyDescent="0.15">
      <c r="A501" s="9">
        <v>5271</v>
      </c>
      <c r="B501" s="10" t="s">
        <v>1493</v>
      </c>
      <c r="C501" s="11" t="s">
        <v>1494</v>
      </c>
      <c r="D501" s="19" t="s">
        <v>1495</v>
      </c>
      <c r="E501" s="13">
        <v>200</v>
      </c>
      <c r="F501" s="13">
        <v>180</v>
      </c>
      <c r="G501" s="7">
        <f t="shared" si="7"/>
        <v>0</v>
      </c>
      <c r="H501" s="13">
        <v>76</v>
      </c>
      <c r="I501" s="13">
        <v>749</v>
      </c>
      <c r="J501" s="13">
        <v>825</v>
      </c>
      <c r="K501" s="13">
        <v>3.0986000000000002E-4</v>
      </c>
    </row>
    <row r="502" spans="1:11" ht="164" customHeight="1" x14ac:dyDescent="0.15">
      <c r="A502" s="9">
        <v>5039</v>
      </c>
      <c r="B502" s="10" t="s">
        <v>1496</v>
      </c>
      <c r="C502" s="11" t="s">
        <v>1497</v>
      </c>
      <c r="D502" s="11" t="s">
        <v>1498</v>
      </c>
      <c r="E502" s="13">
        <v>3</v>
      </c>
      <c r="F502" s="13">
        <v>3</v>
      </c>
      <c r="G502" s="7">
        <f t="shared" si="7"/>
        <v>1</v>
      </c>
      <c r="H502" s="13">
        <v>85</v>
      </c>
      <c r="I502" s="13">
        <v>148</v>
      </c>
      <c r="J502" s="13">
        <v>233</v>
      </c>
      <c r="K502" s="14">
        <v>9.2360000000000003E-5</v>
      </c>
    </row>
    <row r="504" spans="1:11" ht="20" customHeight="1" x14ac:dyDescent="0.15">
      <c r="F504" s="20" t="s">
        <v>1502</v>
      </c>
      <c r="G504" s="1">
        <f>SUM(G3:G502)</f>
        <v>422</v>
      </c>
    </row>
    <row r="505" spans="1:11" ht="20" customHeight="1" x14ac:dyDescent="0.15">
      <c r="F505" s="20" t="s">
        <v>1503</v>
      </c>
      <c r="G505" s="1">
        <f>(G504/500)*100</f>
        <v>84.399999999999991</v>
      </c>
    </row>
  </sheetData>
  <mergeCells count="1">
    <mergeCell ref="A1:K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2026-09-10T06:17:22Z</dcterms:modified>
</cp:coreProperties>
</file>