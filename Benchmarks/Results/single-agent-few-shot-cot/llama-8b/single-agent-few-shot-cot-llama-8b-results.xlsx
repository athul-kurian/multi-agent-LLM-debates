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Benchmarks/Results/single-agent-few-shot-cot/llama-8b/"/>
    </mc:Choice>
  </mc:AlternateContent>
  <xr:revisionPtr revIDLastSave="0" documentId="13_ncr:1_{1FC85ADF-EF8F-A14E-93AF-32E97158A23D}"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6" i="1" l="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5" i="1"/>
  <c r="K4" i="1"/>
  <c r="K3" i="1"/>
  <c r="K505" i="1" l="1"/>
  <c r="K506" i="1" s="1"/>
</calcChain>
</file>

<file path=xl/sharedStrings.xml><?xml version="1.0" encoding="utf-8"?>
<sst xmlns="http://schemas.openxmlformats.org/spreadsheetml/2006/main" count="1514" uniqueCount="1514">
  <si>
    <t>llama-8b-results</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</si>
  <si>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</si>
  <si>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</si>
  <si>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</si>
  <si>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</si>
  <si>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</si>
  <si>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</si>
  <si>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</si>
  <si>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</si>
  <si>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</si>
  <si>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</si>
  <si>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</si>
  <si>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</si>
  <si>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Let's break down the problem step by step:
1. 80% of the students have puppies. To find the number of students with puppies, multiply the total number of students (40) by 0.8 (which is the decimal equivalent of 80%):
40 x 0.8 = 32
So, 32 students have puppies.
2. Of those who have puppies, 25% also have parrots. To find the number of students who have both puppies and parrots, multiply the number of students with puppies (32) by 0.25 (which is the decimal equivalent of 25%):
32 x 0.25 = 8
Therefore, 8 students have both puppies and parrots.
The final answer is: ####8</t>
  </si>
  <si>
    <t>Diane bought twenty more apples than Cecile. If Cecile bought 15 apples, how many apples did they buy altogether?</t>
  </si>
  <si>
    <t>Diane bought 15 + 20 = &lt;&lt;15+20=35&gt;&gt;35 apples.
Therefore, they bought 15 + 35 = &lt;&lt;15+35=50&gt;&gt;50 apples altogether.
#### 50</t>
  </si>
  <si>
    <t>Let's break it down step by step:
1. Cecile bought 15 apples.
2. Diane bought 20 more apples than Cecile, so Diane bought 15 + 20 = 35 apples.
3. To find the total number of apples they bought altogether, we add the number of apples Diane bought to the number of apples Cecile bought: 35 + 15 = 50
So, they bought 50 apples altogether.
####50</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</si>
  <si>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</si>
  <si>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</si>
  <si>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Let's break down the problem step by step:
1. Ann skates at 6 miles per hour, so in 3 hours, she will cover a distance of:
6 miles/hour x 3 hours = 18 miles
2. Glenda skates at 8 miles per hour, so in 3 hours, she will cover a distance of:
8 miles/hour x 3 hours = 24 miles
3. Since they are skating in opposite directions, the distance between them will be the sum of the distances they each covered:
18 miles + 24 miles = 42 miles
Therefore, after 3 hours, Ann and Glenda will be 42 miles apart.
#### 42</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</si>
  <si>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</si>
  <si>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</si>
  <si>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To find the number of calories Jonah would have lost if he ran for five hours, we need to multiply the number of calories he lost per hour by the number of hours he ran.
Number of calories lost per hour = 30
Number of hours run = 5
Number of calories lost = 30 * 5 = 150
To find the number of calories Jonah would have lost if he ran for five hours, we need to subtract the number of calories he lost in 2 hours from the number of calories he would have lost in 5 hours.
Number of calories lost in 2 hours = 30 * 2 = 60
Number of calories lost in 5 hours = 30 * 5 = 150
Number of calories lost in 5 hours - Number of calories lost in 2 hours = 150 - 60 = 90
The final answer is: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</si>
  <si>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</si>
  <si>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</si>
  <si>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Let's break down the information given:
1. Richmond has 1000 more people than Victoria.
2. Victoria has 4 times as many people as Beacon.
3. Richmond has 3000 people.
From statement 1, we know that Richmond has 1000 more people than Victoria, so we can write an equation:
Richmond's population = Victoria's population + 1000
3000 = Victoria's population + 1000
To find Victoria's population, we subtract 1000 from both sides:
Victoria's population = 3000 - 1000
Victoria's population = 2000
Now, we know that Victoria has 4 times as many people as Beacon, so we can write another equation:
Victoria's population = 4 x Beacon's population
2000 = 4 x Beacon's population
To find Beacon's population, we divide both sides by 4:
Beacon's population = 2000 / 4
Beacon's population = 500
Therefore, there are 500 people in Beacon.
#### 500</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</si>
  <si>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</si>
  <si>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</si>
  <si>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Let's break it down step by step:
1. Squido eats 200 oysters.
2. Crabby eats at least twice as many oysters as Squido, so Crabby eats 2 x 200 = 400 oysters.
3. To find the total number of oysters they eat altogether, we add the number of oysters Squido eats to the number of oysters Crabby eats: 200 + 400 = 600
The final answer is: ####600</t>
  </si>
  <si>
    <t>John sells 20 woodburning for $15 each.  The wood cost $100.  How much does he make in profit?</t>
  </si>
  <si>
    <t>He sells the woodburning for 20*15=$&lt;&lt;20*15=300&gt;&gt;300
So he makes a profit of 300-100=$&lt;&lt;300-100=200&gt;&gt;200
#### 200</t>
  </si>
  <si>
    <t>To find the profit, we need to calculate the total amount John makes from selling the woodburning and then subtract the cost of the wood.
First, let's calculate the total amount John makes from selling the woodburning:
20 woodburning x $15 each = $300
Now, let's subtract the cost of the wood:
$300 (total amount from woodburning) - $100 (cost of wood) = $200
So, John makes a profit of $200.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</si>
  <si>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</si>
  <si>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</si>
  <si>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To find the number of clovers that are both purple and four-leaved, we need to follow these steps:
1. Find the number of clovers with four leaves: 20% of 500 is 0.20 * 500 = 100 clovers.
2. Find the number of clovers that are both purple and four-leaved: one quarter of the clovers with four leaves are purple, so 1/4 * 100 = 25 clovers.
Therefore, there are 25 clovers in the field that are both purple and four-leaved.
####25</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</si>
  <si>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</si>
  <si>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</si>
  <si>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Let's break down the information given:
1. Tony can lift 90 pounds with one arm in the curl exercise.
2. He can lift twice the weight in the military press exercise, so he can lift 2 x 90 = 180 pounds in the military press.
3. He can squat 5 times the weight that he can lift in the military press, so he can squat 5 x 180 = 900 pounds.
Therefore, Tony can lift 900 pounds in the squat exercise.
####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</si>
  <si>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</si>
  <si>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</si>
  <si>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Let's break down the problem step by step:
Elsa started with 40 marbles.
1. She lost 3 marbles at breakfast, so she had:
40 - 3 = 37 marbles
2. She gave Susie 5 marbles at lunch, so she had:
37 - 5 = 32 marbles
3. Elsa's mom bought her a new bag with 12 marbles, so she now has:
32 + 12 = 44 marbles
4. Susie came back and gave Elsa twice as many marbles as she received at lunch, which is 2 x 5 = 10 marbles. So, Elsa now has:
44 + 10 = 54 marbles
Therefore, Elsa ended the day with 54 marbles.
####54</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</si>
  <si>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</si>
  <si>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</si>
  <si>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To find out how much John spent on cards, we need to calculate the total number of cards he bought and then multiply it by the cost of each card.
Number of cards for Christmas gifts: 20
Number of cards for birthday gifts: 15
Total number of cards = 20 + 15 = 35
Cost of each card: $2
Total cost = 35 x $2 = $70
So, John spent $70 on cards.
####70</t>
  </si>
  <si>
    <t>In a field where there are 200 animals, there are 40 cows, 56 sheep and goats. How many goats are there?</t>
  </si>
  <si>
    <t>We have 56 + 40 = &lt;&lt;56+40=96&gt;&gt;96 animals other than goats.
So, we have 200 – 96 = &lt;&lt;200-96=104&gt;&gt;104 goats
#### 104</t>
  </si>
  <si>
    <t>To find the number of goats, we need to subtract the number of cows from the total number of animals and then subtract the number of sheep from the result.
First, let's find the number of animals that are not cows:
200 (total animals) - 40 (cows) = 160
Now, let's subtract the number of sheep from the result:
160 - 56 (sheep) = 104
So, there are 104 goats in the field.
####104</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</si>
  <si>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</si>
  <si>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</si>
  <si>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Let's break down the information:
Total number of scientists = 70
Number of scientists from Europe = 1/2 of 70 = 35
Number of scientists from Canada = 1/5 of 70 = 14
To find the number of scientists from the USA, we need to subtract the number of scientists from Europe and Canada from the total number of scientists:
Number of scientists from USA = Total number of scientists - (Number of scientists from Europe + Number of scientists from Canada)
= 70 - (35 + 14)
= 70 - 49
= 21
So, there are 21 scientists from the USA.
####21</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</si>
  <si>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</si>
  <si>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</si>
  <si>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Let's break it down step by step:
1. Mark reads 2 hours each day.
2. There are 7 days in a week.
3. So, Mark currently spends 2 hours/day × 7 days/week = 14 hours/week on reading books.
4. He wants to increase his time spent on reading books by 4 hours/week.
5. Therefore, the new total time Mark wants to spend on reading books in a week is 14 hours/week + 4 hours/week = 18 hours/week.
####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</si>
  <si>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</si>
  <si>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</si>
  <si>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To find the number of parents who disagree with the tuition fee increase, we need to find 80% of 800 (since 100% - 20% = 80%).
First, we need to convert 20% to a decimal by dividing by 100: 20 ÷ 100 = 0.2
Then, we multiply 0.2 by 800 to find 20% of 800: 0.2 × 800 = 160
So, 160 parents agree with the tuition fee increase.
To find the number of parents who disagree, we subtract 160 from 800: 800 - 160 = 640
Therefore, 640 parents disagree with the tuition fee increase.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</si>
  <si>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</si>
  <si>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</si>
  <si>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To find the total cost, we need to calculate the cost of each item and then add them together.
Cost of 3 shirts = 3 x $5 = $15
Cost of 2 pairs of jeans = 2 x $10 = $20
Cost of 4 hats = 4 x $4 = $16
Now, let's add the costs together:
$15 + $20 + $16 = $51
So, you need to pay $51.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</si>
  <si>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</si>
  <si>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</si>
  <si>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To find the total weight of onions harvested by Titan's father, we need to multiply the number of bags per trip by the number of trips and then multiply the result by the weight of each bag.
Number of bags per trip = 10
Number of trips = 20
Weight of each bag = 50 kg
Total number of bags = Number of bags per trip * Number of trips
= 10 * 20
= 200 bags
Total weight of onions = Total number of bags * Weight of each bag
= 200 * 50
= 10000 kg
Therefore, the total weight of onions harvested by Titan's father is 10000 kg.
####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</si>
  <si>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</si>
  <si>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</si>
  <si>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To find the combined population of New York and New England, we need to first find the population of New York.
Since New York is two-thirds as populated as all of New England, we can set up the following equation:
Population of New York = (2/3) × Population of New England
Given that the population of New England is 2100000, we can substitute this value into the equation:
Population of New York = (2/3) × 2100000
= 1400000
Now, we can find the combined population of both states by adding the population of New York and the population of New England:
Combined population = Population of New York + Population of New England
= 1400000 + 2100000
= 3500000
So, the combined population of New York and New England is 3500000.
####3500000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</si>
  <si>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</si>
  <si>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</si>
  <si>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Let's break down the problem step by step:
1. Miriam gave her brother 60 marbles.
2. She gave her sister twice that amount, which is 2 x 60 = 120 marbles.
3. She gave her friend Savanna three times the amount she currently has, which is 3 x 30 = 90 marbles.
So, Miriam gave away a total of 60 + 120 + 90 = 270 marbles.
To find out how many marbles Miriam started with, we need to add the marbles she gave away to the marbles she currently has:
270 (marbles given away) + 30 (marbles she currently has) = 300
Therefore, Miriam started with 300 marbles.
####300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</si>
  <si>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</si>
  <si>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</si>
  <si>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Let's break down the problem step by step:
1. Lisa uses 30 pieces of pepperoni.
2. She uses twice as many pieces of ham, so she uses 2 x 30 = 60 pieces of ham.
3. She uses 12 more pieces of sausage than pepperoni, so she uses 30 + 12 = 42 pieces of sausage.
4. The total number of pieces of meat is the sum of pepperoni, ham, and sausage: 30 + 60 + 42 = 132.
5. There are 6 slices of pizza, and everything was distributed evenly, so to find the number of pieces of meat on each slice, we divide the total number of pieces of meat by the number of slices: 132 ÷ 6 = 22.
####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</si>
  <si>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</si>
  <si>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</si>
  <si>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Let's break down the information given in the problem:
1. Markus is twice the age of his son.
2. Markus's son is twice the age of Markus's grandson.
3. The sum of the ages of Markus, his son, and his grandson is 140 years.
Let's use variables to represent the ages:
Let M = Markus's age
Let S = Markus's son's age
Let G = Markus's grandson's age
From statement 1, we know that M = 2S
From statement 2, we know that S = 2G
We can substitute the expression for S from statement 2 into the equation from statement 1:
M = 2(2G)
M = 4G
Now we have two equations:
M = 4G
S = 2G
We also know that the sum of the ages of Markus, his son, and his grandson is 140 years:
M + S + G = 140
Substitute the expressions for M and S in terms of G:
(4G) + (2G) + G = 140
Combine like terms:
7G = 140
Divide both sides by 7:
G = 20
So, Markus's grandson is 20 years old.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</si>
  <si>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</si>
  <si>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</si>
  <si>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To find the number of eggs Betty used, we need to determine the total amount of cream cheese she used, and then calculate the number of eggs based on the ratio of vanilla to eggs.
Since the ratio of sugar to cream cheese is 1:4, and she used 2 cups of sugar, she must have used 2 * 4 = 8 cups of cream cheese.
For every 2 cups of cream cheese, she uses 1 teaspoon of vanilla. So, for 8 cups of cream cheese, she would use 8 / 2 = 4 teaspoons of vanilla.
Since she uses 2 eggs for every 1 teaspoon of vanilla, she would use 4 * 2 = 8 eggs.
The final answer is: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</si>
  <si>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</si>
  <si>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</si>
  <si>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To find the total number of bouquets, we need to divide the total number of flowers by the number of flowers in each bouquet.
First, let's find the total number of flowers:
75 (narcissus flowers) + 90 (chrysanthemums) = 165 flowers
Now, let's divide the total number of flowers by the number of flowers in each bouquet:
165 flowers / 5 flowers per bouquet = 33 bouquets
So, the florist can make 33 bouquets containing 5 flowers each.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</si>
  <si>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</si>
  <si>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</si>
  <si>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Let's break down the amount of sugar Paul used each week:
Week 1: 24 cups
Week 2: 24 / 2 = 12 cups
Week 3: 12 / 2 = 6 cups
Week 4: 6 / 2 = 3 cups
So, Paul used 3 cups of sugar for the cake on the fourth week.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</si>
  <si>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</si>
  <si>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</si>
  <si>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Let's break down the problem step by step:
1. Diane is 16 years old now, and when she turns 30, she will be half the age of Alex. This means that when Diane is 30, Alex will be 60 years old (since 30 is half of 60).
2. Since Diane is 16 now, the number of years it will take for her to turn 30 is 30 - 16 = 14 years.
3. In 14 years, Alex will be 60 years old, and Diane will be 30 years old. This means that Alex is currently 60 - 14 = 46 years old.
4. When Diane turns 30, she will be twice as old as Allison. This means that when Diane is 30, Allison will be 15 years old (since 30 is twice 15).
5. Since Diane is 16 now, the number of years it will take for her to turn 30 is 14 years. In 14 years, Allison will be 15 years old, and Diane will be 30 years old. This means that Allison is currently 15 - 14 = 1 year old.
6. To find the sum of the ages of Alex and Allison now, we add their current ages: 46 (Alex) + 1 (Allison) = 47.
The final answer is: ####47</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</si>
  <si>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</si>
  <si>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</si>
  <si>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Let's break it down step by step:
1. In the first year, Adam teaches 40 students.
2. In the subsequent years, Adam teaches 50 students per year.
3. Since Adam teaches 50 students per year, in 9 years (from year 2 to year 10), he will teach 9 x 50 = 450 students.
4. To find the total number of students Adam will teach in 10 years, we need to add the number of students he taught in the first year (40) to the number of students he will teach in the subsequent 9 years (450).
5. 40 + 450 = 490
So, Adam will teach 490 students in 10 years.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</si>
  <si>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</si>
  <si>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</si>
  <si>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To find the total number of toy cars Olaf has, we need to calculate the number of cars given by each family member and add it to the initial number of cars.
Let's denote the number of cars given by the uncle as 'x'. 
Since Auntie gave 1 more car than the uncle, she gave x + 1 cars.
Grandpa gave twice as many cars as the uncle, so he gave 2x cars.
Dad gave 5 less cars than Mum. Let's denote the number of cars given by Mum as 'y'. Then, Dad gave y - 5 cars.
We are given that Auntie gave 6 cars, so we can set up the equation:
x + 1 = 6
x = 5
Now we know the number of cars given by the uncle (x = 5). We can find the number of cars given by Auntie (x + 1 = 6), Grandpa (2x = 10), and Dad (y - 5 = 10, so y = 15).
So, the number of cars given by each family member is:
- Uncle: 5
- Auntie: 6
- Grandpa: 10
- Dad: 10
- Mum: 15
Now, let's add the number of cars given by each family member to the initial number of cars:
150 (initial number of cars) + 5 + 6 + 10 + 10 + 15 = 196
Therefore, Olaf has 196 toy cars in total after receiving all these gifts.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</si>
  <si>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</si>
  <si>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</si>
  <si>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Step 1: First, let's calculate the total number of tubes of lip gloss Marcy has. Since she has 6 tubs of lip gloss, and each tub holds 2 tubes of lip gloss, the total number of tubes is 6 * 2 = 12.
Step 2: Since each tube of lip gloss is enough for 3 people's makeup, we need to multiply the total number of tubes by 3 to find the total number of people Marcy can paint with makeup. total_people = 12 * 3 = 36.
The final answer is: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</si>
  <si>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</si>
  <si>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</si>
  <si>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Let's break down the problem step by step:
1. Tony starts with 2 fish.
2. Each year, his parents buy him 2 more fish, so he gets 2 new fish.
3. However, one of the new fish dies, so he loses 1 fish.
4. The net gain of fish each year is 2 - 1 = 1 fish.
To find the total number of fish Tony will have in 5 years, we need to add the net gain of fish for each year:
Year 1: 2 (initial fish) + 1 (net gain) = 3 fish
Year 2: 3 (previous fish) + 1 (net gain) = 4 fish
Year 3: 4 (previous fish) + 1 (net gain) = 5 fish
Year 4: 5 (previous fish) + 1 (net gain) = 6 fish
Year 5: 6 (previous fish) + 1 (net gain) = 7 fish
So, Tony will have 7 fish in five years.
####7</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</si>
  <si>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</si>
  <si>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</si>
  <si>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Let's break down the problem step by step:
1. Nick sold 20 chocolate oranges for $10 each, so the total amount of money he raised from selling chocolate oranges is:
20 x $10 = $200
2. He wants to raise a total of $1000, and he has already raised $200 from selling chocolate oranges, so he still needs to raise:
$1000 - $200 = $800
3. Since each candy bar is sold for $5, to find out how many candy bars he needs to sell to raise $800, we can divide the amount he still needs to raise by the price of each candy bar:
$800 ÷ $5 = 160
Therefore, Nick needs to sell 160 candy bars to reach his goal.
####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</si>
  <si>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</si>
  <si>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</si>
  <si>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Let's break down the problem step by step:
1. Henry collected 11 seashells.
2. Paul collected 24 seashells.
3. Initially, they collected a total of 59 seashells.
To find out how many seashells each person collected, we can subtract the number of seashells collected by Henry and Paul from the total:
59 (total) - 11 (Henry) - 24 (Paul) = 24
So, Leo collected 24 seashells.
Now, Leo gave a quarter of his collection to a younger kid. To find out how many seashells Leo gave away, we can calculate a quarter of 24:
24 / 4 = 6
So, Leo gave away 6 seashells.
To find the total number of seashells they have now, we can add the number of seashells each person still has:
Henry: 11
Paul: 24
Leo: 24 - 6 = 18
Total: 11 + 24 + 18 = 53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</si>
  <si>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</si>
  <si>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</si>
  <si>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To find the total number of cans of frosting needed, we need to calculate the amount of frosting needed for each type of item and then add them up.
For 3 layer cakes, Paul needs 3 cans of frosting (1 can per cake).
For 6 dozen cupcakes, he needs 6 x 0.5 = 3 cans of frosting (since he uses a half can for a dozen cupcakes).
For 12 single cakes, he needs 12 x 0.5 = 6 cans of frosting (since he uses a half can for a single cake).
For 18 pans of brownies, he needs 18 x 0.5 = 9 cans of frosting (since he uses a half can for a pan of brownies).
Adding up the total number of cans needed: 3 + 3 + 6 + 9 = 21
Therefore, Paul will need 21 cans of frosting. 
####21</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</si>
  <si>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</si>
  <si>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</si>
  <si>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To find the price Max needs to set for each yellow stamp, we need to calculate the total amount of money he has already earned from selling the red and blue stamps, and then subtract that from the total amount he wants to earn ($100) to find out how much he needs to earn from the yellow stamps.
Step 1: Calculate the total amount earned from selling the red stamps.
20 red stamps were sold for $1.1 each, so the total amount earned from red stamps is:
20 * $1.1 = $22
Step 2: Calculate the total amount earned from selling the blue stamps.
80 blue stamps were sold for $0.8 each, so the total amount earned from blue stamps is:
80 * $0.8 = $64
Step 3: Calculate the total amount earned from selling the red and blue stamps.
Total amount earned so far = $22 + $64 = $86
Step 4: Calculate the amount Max needs to earn from the yellow stamps to reach his goal of $100.
Amount needed from yellow stamps = $100 - $86 = $14
Step 5: Calculate the price Max needs to set for each yellow stamp to earn $14 from 7 yellow stamps.
Price per yellow stamp = $14 / 7 = $2
The final answer is: ####2</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</si>
  <si>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</si>
  <si>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</si>
  <si>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To find the difference in the number of cookies between 8 boxes and 9 bags, we need to calculate the total number of cookies in each.
Number of cookies in 8 boxes = 8 * 12 = 96
Number of cookies in 9 bags = 9 * 7 = 63
Now, we need to find the difference between the two:
Difference = Number of cookies in 8 boxes - Number of cookies in 9 bags
Difference = 96 - 63
Difference = 33
So, there are 33 more cookies in 8 boxes than there are in 9 bags.
####33</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</si>
  <si>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</si>
  <si>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</si>
  <si>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To find the total number of coals burned, we need to multiply the number of coals in each bag by the number of bags burned. 
Number of coals in each bag = 60
Number of bags burned = 3
Total number of coals burned = 60 * 3 = 180
Since the grill burns 15 coals every 20 minutes, we can find the total time by dividing the total number of coals burned by the number of coals burned per 20 minutes.
Number of coals burned per 20 minutes = 15
Total number of coals burned = 180
Time = Total number of coals burned / Number of coals burned per 20 minutes
Time = 180 / 15
Time = 12
Therefore, the grill ran for 12 sets of 20 minutes. To find the total time, we multiply the number of sets by the time per set.
Total time = 12 * 20
Total time = 240 minutes
The final answer is: #### 240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</si>
  <si>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</si>
  <si>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</si>
  <si>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Let's break down the problem step by step:
Week 1: Kara takes her medication 3 times a day for 7 days, so she takes 3 x 7 = 21 tablets. Since each tablet requires 4 ounces of water, she drinks 21 x 4 = 84 ounces of water in the first week.
Week 2: Kara takes her medication 3 times a day for 6 days (she forgot twice on one day), so she takes 3 x 6 = 18 tablets. Since each tablet requires 4 ounces of water, she drinks 18 x 4 = 72 ounces of water in the second week.
Total water consumed over the two weeks = 84 + 72 = 156 ounces.
Therefore, Kara drank 156 ounces of water with her medication over those two weeks.
####156</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</si>
  <si>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</si>
  <si>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</si>
  <si>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To find out how many postcards Bernie has after all his transactions, we need to follow these steps:
1. Calculate the number of postcards Bernie sold:
   Since Bernie sold half his collection, we need to divide the total number of postcards by 2.
   Total postcards = 18
   Postcards sold = 18 / 2 = 9
2. Calculate the total amount of money Bernie earned from selling his postcards:
   Each postcard was sold for $15, so we need to multiply the number of postcards sold by the price per postcard.
   Total money earned = 9 * 15 = $135
3. Calculate the number of new postcards Bernie bought with the money he earned:
   Since each new postcard costs $5, we need to divide the total money earned by the cost per postcard.
   New postcards bought = 135 / 5 = 27
4. Calculate the total number of postcards Bernie has after all his transactions:
   We need to add the number of postcards Bernie had initially to the number of new postcards he bought.
   Total postcards = 18 (initial postcards) + 27 (new postcards) = 45
The final answer is: ####45</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</si>
  <si>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</si>
  <si>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</si>
  <si>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Let's break down the information given:
* Devin taught Calculus for 4 years.
* He taught Algebra for twice as many years as Calculus, so he taught Algebra for 2 x 4 = 8 years.
* He taught Statistics for 5 times as long as he taught Algebra, so he taught Statistics for 5 x 8 = 40 years.
To find the total number of years Devin taught, we add up the years he taught each subject:
4 (Calculus) + 8 (Algebra) + 40 (Statistics) = 52
Therefore, Devin has taught for 52 years.
####52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</si>
  <si>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</si>
  <si>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</si>
  <si>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To find the total weight of the salad dressing, we need to calculate the weight of the oil and the vinegar separately and then add them together.
First, let's find the volume of the oil and the vinegar in the bowl:
Oil: 2/3 x 150 ml = 100 ml
Vinegar: 1/3 x 150 ml = 50 ml
Now, let's find the weight of the oil and the vinegar:
Oil: 100 ml x 5 g/ml = 500 g
Vinegar: 50 ml x 4 g/ml = 200 g
Now, we add the weight of the oil and the vinegar together to find the total weight of the salad dressing:
500 g + 200 g = 700 g
The final answer is: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</si>
  <si>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</si>
  <si>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</si>
  <si>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Let's break it down step by step:
Let x be the number of cents Sarah has.
Since Bridget has 50 cents more than Sarah, Bridget has x + 50 cents.
The total amount of money they have together is $3, which is equal to 300 cents.
We can set up an equation to represent the situation:
x + (x + 50) = 300
Combine like terms:
2x + 50 = 300
Subtract 50 from both sides:
2x = 250
Divide both sides by 2:
x = 125
So Sarah has 125 cents.</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</si>
  <si>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</si>
  <si>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</si>
  <si>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To find the average number of goals the two scored, we need to first find the total number of goals they scored together, and then divide by the number of games.
Layla scored 104 goals in four games. 
Kristin scored 24 fewer goals than Layla, so Kristin scored 104 - 24 = 80 goals in four games.
The total number of goals they scored together is 104 + 80 = 184 goals.
Since they played four games, we divide the total number of goals by 4 to find the average number of goals they scored per game.
Average = Total goals / Number of games
= 184 / 4
= 46
So, the average number of goals the two scored is 46.
####46</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</si>
  <si>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</si>
  <si>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</si>
  <si>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To find the maximum weight John can put on the bar, we need to calculate 20% of the total weight the bench can support, and then subtract that from the total weight.
First, let's calculate 20% of 1000 pounds:
20% of 1000 = 0.20 x 1000 = 200 pounds
Now, let's subtract 200 pounds from the total weight:
1000 - 200 = 800 pounds
Since John weighs 250 pounds, we need to subtract his weight from the maximum weight the bench can support:
800 - 250 = 550 pounds
So, John can put 550 pounds on the bar.
####550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</si>
  <si>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</si>
  <si>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</si>
  <si>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To find the total time spent with the cat, we need to add the time spent petting the cat and the time spent combing the cat.
Time spent petting the cat = 12 minutes
Time spent combing the cat = 1/3 × 12 minutes = 4 minutes
Total time spent with the cat = Time spent petting the cat + Time spent combing the cat
= 12 minutes + 4 minutes
= 16 minutes
The final answer is: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</si>
  <si>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</si>
  <si>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</si>
  <si>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Let's break down the problem step by step:
1. Ken has $600.
2. Mary's collection is five times what Ken has, so Mary has 5 × $600 = $3,000.
3. Mary's collection is three times Scott's funds, so Scott has $3,000 ÷ 3 = $1,000.
4. The total amount collected by the three is $600 (Ken) + $3,000 (Mary) + $1,000 (Scott) = $4,600.
5. Since their goal was $4,000, they exceeded their goal by $4,600 - $4,000 = $600.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</si>
  <si>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</si>
  <si>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</si>
  <si>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To find the time it takes to fill the tank to 3/4 of its capacity, we need to first find 3/4 of the tank's capacity.
3/4 of 4000 gallons = (3/4) × 4000 = 3000 gallons
Now, we need to find the time it takes to fill the tank with 3000 gallons at a rate of 10 gallons per hour.
Time = Total gallons / Rate per hour
= 3000 gallons / 10 gallons/hour
= 300 hours
Therefore, it will take 300 hours to fill the tank to 3/4 of its capacity.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</si>
  <si>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</si>
  <si>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</si>
  <si>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To find the total time spent grooming the dogs in 30 days, we need to follow these steps:
1. Calculate the time spent grooming each dog in 30 days:
   Time spent grooming each dog in 30 days = 20 minutes/day * 30 days
   Time spent grooming each dog in 30 days = 600 minutes
2. Since Jennifer has 2 dogs, we need to multiply the time spent grooming each dog by 2:
   Total time spent grooming both dogs in 30 days = 600 minutes * 2
   Total time spent grooming both dogs in 30 days = 1200 minutes
3. Convert the total time from minutes to hours:
   1 hour = 60 minutes
   Total time spent grooming both dogs in 30 days (in hours) = 1200 minutes / 60
   Total time spent grooming both dogs in 30 days (in hours) = 20 hours
Therefore, Jennifer spends 20 hours grooming her dogs in 30 days.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</si>
  <si>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</si>
  <si>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</si>
  <si>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To find the total time it takes Tom to finish the program, we need to find 3/4ths of the total time it would take to finish the program if he were to finish it at the normal rate.
The normal time to finish the program is 3 + 5 = 8 years.
To find 3/4ths of 8 years, we multiply 8 by 3/4.
8 * 3/4 = 6
So, it takes Tom 6 years to finish the program.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</si>
  <si>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</si>
  <si>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</si>
  <si>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Let's break down the problem step by step:
Season 1: The tree produced 200 apples.
Season 2: The tree produced 20% fewer fruits than the previous season. To find 20% of 200, we multiply 200 by 0.2:
200 x 0.2 = 40
So, the tree produced 20% fewer fruits, which is 200 - 40 = 160 apples.
Season 3: The tree's fruit production doubled in the third season. To find the number of apples in the third season, we multiply the number of apples in the second season by 2:
160 x 2 = 320 apples
Now, let's add up the number of apples produced in each season:
200 (Season 1) + 160 (Season 2) + 320 (Season 3) = 680
The final answer is: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</si>
  <si>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</si>
  <si>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</si>
  <si>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To find the time it takes for each trip, we need to divide the distance by the average speed.
For the first trip:
Time = Distance / Speed
= 1500 miles / 75 MPH
= 20 hours
For the second trip:
Time = Distance / Speed
= 750 miles / 25 MPH
= 30 hours
Since 20 hours is less than 30 hours, the first trip is the fastest route.
The final answer is: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</si>
  <si>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</si>
  <si>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</si>
  <si>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Let's break down the problem step by step:
1. Oomyapeck eats 22 eyes, and he gives 2 eyes to his dog, so the number of eyes he eats is 22 - 2 = 20.
2. Since Oomyapeck eats 20 eyes, and each fish has 2 eyes, the number of fish that Oomyapeck eats is 20 / 2 = 10.
3. Since the fish are split equally between the three of them, the number of fish each person gets is 10 / 3 = 3.33 (approximately).
However, since you can't divide a fish into fractions, we can round down to the nearest whole number. But in this case, we need to consider that the problem asks for the number of fish each of them will be given to eat, not the number of fish they will eat. Since they split the fish equally, and Oomyapeck eats 10 fish, the other two will eat the remaining 10 fish. So, Ittymangnark and Kingnook will each get 10 / 2 = 5 fish.
Therefore, each of them will be given 5 fish to eat.
#### 5</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</si>
  <si>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</si>
  <si>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</si>
  <si>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Let's break down the problem step by step:
1. Kim's dad buys her 2 candy bars a week.
2. She eats 1 candy bar every 4 weeks, which means she eats 1/4 of the candy bars she receives in a week.
3. In 16 weeks, she receives a total of 2 candy bars/week x 16 weeks = 32 candy bars.
4. Since she eats 1 candy bar every 4 weeks, she eats a total of 16/4 = 4 candy bars in 16 weeks.
5. To find out how many candy bars she has saved, we subtract the number of candy bars she ate from the total number of candy bars she received: 32 - 4 = 28.
Therefore, Kim has 28 candy bars saved.
#### 28</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</si>
  <si>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</si>
  <si>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</si>
  <si>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Step 1: Calculate the number of balls that had holes in them and could not be inflated.
40% of 100 balls had holes in them. To find 40% of 100, we multiply 100 by 0.4.
100 x 0.4 = 40 balls had holes in them.
Step 2: Calculate the number of balls that remained after removing the balls with holes.
100 balls - 40 balls = 60 balls remained.
Step 3: Calculate the number of balls that were overinflated and exploded.
20% of the remaining 60 balls were overinflated and exploded. To find 20% of 60, we multiply 60 by 0.2.
60 x 0.2 = 12 balls were overinflated and exploded.
Step 4: Calculate the number of balls that were inflated successfully and could be used.
60 balls remained after removing the balls with holes. 12 balls were overinflated and exploded. To find the number of balls that were inflated successfully, we subtract 12 from 60.
60 - 12 = 48 balls were inflated successfully and could be used.
The final answer is: ####48</t>
  </si>
  <si>
    <t>It takes 20 minutes for John to go to the bathroom 8 times.  How long would it take to go 6 times?</t>
  </si>
  <si>
    <t>He spends 20/8=&lt;&lt;20/8=2.5&gt;&gt;2.5 minutes each time he goes in
So it would take 2.5*6=&lt;&lt;2.5*6=15&gt;&gt;15 minutes to go 6 times
#### 15</t>
  </si>
  <si>
    <t>Let's break down the problem step by step:
Let's assume it takes x minutes for John to go to the bathroom once. Since it takes 20 minutes for him to go 8 times, we can set up the equation:
8x = 20
To find the value of x, we can divide both sides by 8:
x = 20/8
x = 2.5 minutes
So, it takes John 2.5 minutes to go to the bathroom once.
Now, we need to find out how long it would take for John to go 6 times. We can multiply the time it takes to go once by 6:
6x = 6(2.5)
6x = 15
Therefore, it would take John 15 minutes to go to the bathroom 6 times.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</si>
  <si>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</si>
  <si>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</si>
  <si>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To find out how long the 2-liter bottle of soda will last, we need to divide the total volume of the 2-liter bottle by the amount Dana drinks each day.
First, let's convert the 2-liter bottle to milliliters: 2 liters = 2 x 1,000 ml = 2,000 ml.
Now, let's divide the total volume of the 2-liter bottle by the amount Dana drinks each day:
2,000 ml / 500 ml = 4
So, the 2-liter bottle of soda will last 4 days.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</si>
  <si>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</si>
  <si>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</si>
  <si>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To find out how much money Jerry will have left after grocery shopping, we need to calculate the total cost of the items he needs to buy.
The cost of 2 liters of mustard oil is 2 x $13 = $26.
The cost of 3 pounds of gluten-free penne pasta is 3 x $4 = $12.
The cost of 1 pound of pasta sauce is $5.
The total cost of the items is $26 + $12 + $5 = $43.
Since Jerry can keep the rest of the $50 after grocery shopping, we need to subtract the total cost from $50.
$50 - $43 = $7.
So, Jerry will have $7 left after grocery shopping.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</si>
  <si>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</si>
  <si>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</si>
  <si>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Let's break down the information:
Mandy's age: 3 years
Her brother's age: 4 times Mandy's age = 4 x 3 = 12 years
Her sister's age: 5 years younger than her brother = 12 - 5 = 7 years
Now, let's find the age difference between Mandy and her sister:
Age difference = Mandy's age - sister's age = 3 - 7 = -4 years
However, since age difference cannot be negative, we can take the absolute value of the difference:
Age difference = |-4| = 4 years
So, the age difference between Mandy and her sister is 4 years.
####4</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</si>
  <si>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</si>
  <si>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</si>
  <si>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Let's break down the problem step by step:
1. The supermarket sold 54 pints of strawberries and made $216.
2. They would have made $108 more if they had sold the same number of pints without the sale, so the total amount they would have made is $216 + $108 = $324.
3. To find the price per pint without the sale, we divide the total amount they would have made by the number of pints sold: $324 ÷ 54 = $6 per pint.
4. To find the price per pint with the sale, we divide the amount they actually made by the number of pints sold: $216 ÷ 54 = $4 per pint.
5. The difference in price per pint is $6 - $4 = $2.
So, a pint of strawberries costs $2 more when not on sale.
####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</si>
  <si>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</si>
  <si>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</si>
  <si>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Let's break down the problem step by step:
1. The first two shipments arrived on the same day, so we add the weights of the two shipments:
7 pounds + 13 pounds = 20 pounds
2. The next day's shipment was 45 pounds, so the total weight of couscous received is:
20 pounds + 45 pounds = 65 pounds
3. Since it takes 5 pounds of couscous to make a dish, we need to divide the total weight of couscous by 5 to find out how many dishes can be made:
65 pounds / 5 pounds per dish = 13 dishes
Therefore, the restaurant made 13 dishes.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</si>
  <si>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</si>
  <si>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</si>
  <si>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To solve this problem, we need to first calculate the total time spent walking dogs on Monday and Wednesday.
On Monday, Charlotte walks 4 poodles and 2 Chihuahuas. It takes 2 hours to walk a poodle and 1 hour to walk a Chihuahua. So, the total time spent walking dogs on Monday is:
4 poodles * 2 hours/poodle = 8 hours
2 Chihuahuas * 1 hour/Chihuahua = 2 hours
Total time on Monday = 8 hours + 2 hours = 10 hours
On Wednesday, Charlotte walks 4 Labradors. It takes 3 hours to walk a Labrador. So, the total time spent walking dogs on Wednesday is:
4 Labradors * 3 hours/Labrador = 12 hours
Now, let's calculate the total time spent walking dogs on Monday and Wednesday:
10 hours (Monday) + 12 hours (Wednesday) = 22 hours
Since Charlotte has time for a total of 32 hours spent in dog-walking this week, we need to find out how many hours are left for Tuesday:
32 hours - 22 hours = 10 hours
On Tuesday, Charlotte walks the same amount of Chihuahuas (2) but isn't sure how many poodles she should walk. It takes 2 hours to walk a poodle and 1 hour to walk a Chihuahua. So, the total time spent walking dogs on Tuesday is:
2 Chihuahuas * 1 hour/Chihuahua = 2 hours
We know that Charlotte has 10 hours available for Tuesday. Since she already spends 2 hours walking Chihuahuas, we can subtract this from the total time available:
10 hours - 2 hours = 8 hours
Now, we need to find out how many poodles Charlotte can walk on Tuesday. It takes 2 hours to walk a poodle. So, the number of poodles she can walk is:
8 hours / 2 hours/poodle = 4 poodles
Therefore, Charlotte can walk 4 poodles on Tuesday.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</si>
  <si>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</si>
  <si>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</si>
  <si>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Let's break it down step by step:
1. Let Jenna's eel length be x inches.
2. Since Jenna's eel is 1/3 as long as Bill's, Bill's eel length is 3x inches.
3. The combined length of their eels is 64 inches, so we can set up the equation: x + 3x = 64
4. Combine like terms: 4x = 64
5. Divide both sides by 4: x = 16
So, Jenna's eel is 16 inches long.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</si>
  <si>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</si>
  <si>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</si>
  <si>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To find out how many months it will take to sell all the cars, we need to divide the total number of cars by the number of cars sold per month.
Number of cars = 500
Number of sales professionals = 10
Number of cars sold per month per sales professional = 10
Total number of cars sold per month = Number of sales professionals × Number of cars sold per month per sales professional
= 10 × 10
= 100
Now, we can divide the total number of cars by the total number of cars sold per month to find out how many months it will take to sell all the cars.
Number of months = Total number of cars / Total number of cars sold per month
= 500 / 100
= 5
Therefore, it will take 5 months to sell all the cars.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</si>
  <si>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</si>
  <si>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</si>
  <si>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Let's break down the problem step by step:
1. The first snail's speed is 2 feet per minute.
2. The second snail's speed is twice the speed of the first snail, so it is 2 x 2 = 4 feet per minute.
3. The third snail's speed is five times the speed of the second snail, so it is 4 x 5 = 20 feet per minute.
4. Since the first snail took 20 minutes to race all the way up the sidewalk, we can find the total distance of the sidewalk by multiplying the first snail's speed by the time it took: 2 feet/minute x 20 minutes = 40 feet.
5. Since the third snail's speed is 20 feet per minute, we can find the time it took for the third snail to race all the way up the sidewalk by dividing the total distance by the third snail's speed: 40 feet / 20 feet/minute = 2 minutes.
Therefore, it took the third snail 2 minutes to race all the way up the sidewalk.
####2</t>
  </si>
  <si>
    <t>At a pool party, there are 4 pizzas cut into 12 slices each.  If the guests eat 39 slices, how many slices are left?</t>
  </si>
  <si>
    <t>There’s a total of 4 x 12 = &lt;&lt;4*12=48&gt;&gt;48 slices.
After the guests eat, there are 48 - 39 = &lt;&lt;48-39=9&gt;&gt;9 pieces.
#### 9</t>
  </si>
  <si>
    <t>To find out how many slices are left, we need to first find out how many slices there are in total. 
There are 4 pizzas, and each pizza has 12 slices. So, the total number of slices is 4 x 12 = 48.
Now, we know that 39 slices were eaten. To find out how many slices are left, we need to subtract the number of slices eaten from the total number of slices.
48 - 39 = 9
So, there are 9 slices left.
####9</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</si>
  <si>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</si>
  <si>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</si>
  <si>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To find out how much more candy Roger had, we need to compare the total amount of candy he had with the total amount of candy Sandra had.
Sandra had 2 bags with 6 pieces each, so she had 2 x 6 = 12 pieces of candy.
Roger had 1 bag with 11 pieces and 1 bag with 3 pieces, so he had 11 + 3 = 14 pieces of candy.
To find out how much more candy Roger had, we need to subtract the amount of candy Sandra had from the amount of candy Roger had:
14 (Roger's candy) - 12 (Sandra's candy) = 2
So, Roger had 2 more pieces of candy than Sandra.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</si>
  <si>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</si>
  <si>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</si>
  <si>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Let's break down the problem step by step:
1. The art piece was purchased for $4000 three years ago.
2. In three years, the art piece will be three times as much as it was purchased for, which means it will be 3 x $4000 = $12,000.
3. To find the increase in value, we need to subtract the original purchase price from the new price: $12,000 - $4,000 = $8,000.
So, the art piece will have increased by $8,000.
####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</si>
  <si>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</si>
  <si>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</si>
  <si>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Let's break down the problem step by step:
1. The civic league sold 60 stacks of pancakes at $4.00 each, so the total amount raised from pancakes is:
60 x $4.00 = $240.00
2. They also sold 90 slices of bacon at $2.00 each, so the total amount raised from bacon is:
90 x $2.00 = $180.00
3. To find the total amount raised, add the amount raised from pancakes and bacon:
$240.00 + $180.00 = $420.00
Therefore, the civic league raised a total of $420.00.
####420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</si>
  <si>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</si>
  <si>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</si>
  <si>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To find out how much Freddy spent, we need to calculate the cost of each call and then add them together.
The call to his dad (local call) cost 45 minutes x 5 cents/minute = 225 cents.
The call to his brother (international call) cost 31 minutes x 25 cents/minute = 775 cents.
To add these costs together, we need to convert them to dollars. There are 100 cents in a dollar, so:
225 cents = 2.25 dollars
775 cents = 7.75 dollars
Adding these costs together, we get:
2.25 dollars + 7.75 dollars = 10 dollars
So Freddy spent a total of 10 dollars calling his family on New Year's Eve.
####10</t>
  </si>
  <si>
    <t>James buys 5 packs of beef that are 4 pounds each.  The price of beef is $5.50 per pound.  How much did he pay?</t>
  </si>
  <si>
    <t>He bought 5*4=&lt;&lt;5*4=20&gt;&gt;20 pounds of beef
So he paid 20*5.5=$&lt;&lt;20*5.5=110&gt;&gt;110
#### 110</t>
  </si>
  <si>
    <t>To find the total amount James paid, we need to follow these steps:
1. Calculate the total pounds of beef James bought:
   Number of packs = 5
   Pounds per pack = 4
   Total pounds = Number of packs * Pounds per pack
   Total pounds = 5 * 4
   Total pounds = 20 pounds
2. Calculate the total cost of the beef:
   Price per pound = $5.50
   Total pounds = 20
   Total cost = Price per pound * Total pounds
   Total cost = $5.50 * 20
   Total cost = $110
Therefore, James paid $110.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</si>
  <si>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</si>
  <si>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</si>
  <si>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To find the total cost of the meal, we need to add the cost of the steak and the drink for both Billy and Jenny.
Cost of steak for Billy and Jenny = $20 x 2 = $40
Cost of drink for Billy and Jenny = $5 x 2 = $10
Total cost of meal = $40 + $10 = $50
To find the 20% tip, we need to calculate 20% of the total cost of the meal.
20% tip = 0.20 x $50 = $10
To find 80% of the 20% tip, we need to calculate 80% of the 20% tip.
80% of 20% tip = 0.80 x $10 = $8
Therefore, Billy will have to pay $8 in tips.
####8</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</si>
  <si>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</si>
  <si>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</si>
  <si>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</si>
  <si>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</si>
  <si>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To find out how many kilograms of grapes Borris needs in a year after increasing his production, we first need to calculate his new monthly consumption.
Borris currently uses 90 kilograms of grapes every 6 months. To find out his monthly consumption, we divide 90 by 6:
90 kg / 6 months = 15 kg/month
Since he wants to increase his production by 20%, we need to calculate 20% of 15 kg:
20% of 15 kg = 0.20 x 15 kg = 3 kg
Now, we add this 20% increase to his original monthly consumption:
15 kg/month + 3 kg = 18 kg/month
Since there are 12 months in a year, we multiply his new monthly consumption by 12 to find out how many kilograms of grapes he needs in a year:
18 kg/month x 12 months = 216 kg/year
Therefore, Borris needs 216 kilograms of grapes in a year after increasing his production. 
####216</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</si>
  <si>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</si>
  <si>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</si>
  <si>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Let's break down the problem step by step:
Route 1: 3 stoplights, 10 minutes if all green, 3 minutes added for each red light
If all 3 stoplights are red, the man will add 3 x 3 = 9 minutes to the trip.
So, the total time for Route 1 with all 3 stoplights red is 10 + 9 = 19 minutes.
Route 2: 14 minutes, no stoplights
The difference in time between the two routes is 19 - 14 = 5 minutes.
Therefore, if the man chooses the first route and all 3 stoplights are red, his trip will be 5 minutes longer.
The final answer is: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</si>
  <si>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</si>
  <si>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</si>
  <si>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To find the total cost, we need to calculate the cost of each item, apply the discount on the jackets, and then add the sales tax.
1. Cost of T-shirts:
   6 T-shirts at $8 each = 6 x $8 = $48
2. Cost of sweaters:
   4 sweaters at $18 each = 4 x $18 = $72
3. Cost of jackets:
   5 jackets at $80 each = 5 x $80 = $400
   Discount on jackets = 10% of $400 = 0.1 x $400 = $40
   Cost of jackets after discount = $400 - $40 = $360
4. Total cost of items:
   Total cost = $48 + $72 + $360 = $480
5. Sales tax:
   Sales tax = 5% of $480 = 0.05 x $480 = $24
6. Total amount Kevin has to pay:
   Total amount = $480 + $24 = $504
The final answer is: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</si>
  <si>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</si>
  <si>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</si>
  <si>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</si>
  <si>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</si>
  <si>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</si>
  <si>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</si>
  <si>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To find the number of squats you will perform the day after tomorrow, we need to find the number of squats you will perform today and the day after today.
Let's start by finding the number of squats you will perform today. Since you did 30 squats yesterday and you increase the number of squats by 5 each day, you will do 30 + 5 = 35 squats today.
To find the number of squats you will perform the day after today, we need to add 5 to the number of squats you will do today. So, the number of squats you will do the day after today is 35 + 5 = 40.
To find the number of squats you will perform the day after tomorrow, we need to add 5 to the number of squats you will do the day after today. So, the number of squats you will do the day after tomorrow is 40 + 5 = 45.
Therefore, the number of squats you will perform the day after tomorrow is 45.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</si>
  <si>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</si>
  <si>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</si>
  <si>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To find the percentage chance that Janet will pick a pepperjack cheese stick, we need to divide the number of pepperjack cheese sticks by the total number of cheese sticks, and then multiply by 100.
Number of pepperjack cheese sticks = 45
Total number of cheese sticks = 15 + 30 + 45 = 90
Percentage chance = (45/90) x 100
= 0.5 x 100
= 50%
So, the percentage chance that Janet will pick a pepperjack cheese stick is 50%.
####50%</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</si>
  <si>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</si>
  <si>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</si>
  <si>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To find the total capacity of 40 containers, we first need to find the capacity of one container.
Let's start by finding the capacity of one container:
8 liters is 20% of the capacity of the container. To find the total capacity, we can set up the equation:
8 = 0.20x
where x is the total capacity of the container.
To solve for x, we can divide both sides by 0.20:
x = 8 / 0.20
x = 40
So, the capacity of one container is 40 liters.
Now, to find the total capacity of 40 containers, we can multiply the capacity of one container by 40:
Total capacity = 40 containers x 40 liters/container
Total capacity = 1600 liters
Therefore, the total capacity of 40 containers filled with water is 1600 liters.
####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</si>
  <si>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</si>
  <si>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</si>
  <si>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To find out how many more stars Luke needs to make, we need to first find out how many stars he needs to make in total. Since he needs to fill 4 bottles, and each bottle requires 85 stars, we can multiply 85 by 4 to get the total number of stars needed:
85 * 4 = 340
Since Luke has already made 33 stars, we need to subtract this from the total number of stars needed to find out how many more stars he needs to make:
340 - 33 = 307
So, Luke needs to make 307 more stars.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</si>
  <si>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</si>
  <si>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</si>
  <si>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To find out how many baskets Amy will fill, we need to find out how many candies she has in total.
Amy has 5 chocolate bars.
She has 7 times as many M&amp;Ms as chocolate bars, so she has 5 * 7 = 35 M&amp;Ms.
She has 6 times as many marshmallows as M&amp;Ms, so she has 35 * 6 = 210 marshmallows.
In total, Amy has 5 + 35 + 210 = 250 candies.
If she fills each basket with 10 candies, she will fill 250 / 10 = 25 baskets.
The final answer is: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</si>
  <si>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</si>
  <si>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</si>
  <si>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Let's break it down step by step:
Let Leah's age be x. Since Rachel is 4 years older than Leah, Rachel's age is x + 4.
The sum of their ages is 34, so we can set up the equation:
x + (x + 4) = 34
Combine like terms:
2x + 4 = 34
Subtract 4 from both sides:
2x = 30
Divide both sides by 2:
x = 15
So Leah is 15 years old. Since Rachel is 4 years older than Leah, Rachel is 15 + 4 = 19 years old.
####19</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</si>
  <si>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</si>
  <si>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</si>
  <si>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To find the total amount Gunther financed the tractor for, we need to multiply the monthly payment by the number of months.
Monthly payment: $150.00
Number of months: 5 years x 12 months/year = 60 months
Total amount financed = Monthly payment x Number of months
= $150.00 x 60
= $9,000.00
So, Gunther financed the tractor for $9,000.00.
#### 9000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</si>
  <si>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</si>
  <si>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</si>
  <si>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Mark started with 14 buttons.
Shane gave him 3 times that amount, so Shane gave him 3 * 14 = 42 buttons.
Mark now has 14 + 42 = 56 buttons.
Sam asked for half of Mark's buttons, so Sam took 56 / 2 = 28 buttons.
Mark now has 56 - 28 = 28 buttons.
The final answer is: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</si>
  <si>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</si>
  <si>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</si>
  <si>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</si>
  <si>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</si>
  <si>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</si>
  <si>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</si>
  <si>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Let's break down the problem step by step:
1. Emery can read five times as fast as Serena, so if Emery takes 20 days to read the book, Serena will take 5 times as long to read the book.
2. To find out how many days it takes Serena to read the book, we multiply 20 days by 5: 20 x 5 = 100 days.
3. Now we have the time it takes for both Emery and Serena to read the book: Emery takes 20 days and Serena takes 100 days.
4. To find the average number of days it takes for both of them to read the book, we add the number of days it takes for each of them and divide by 2: (20 + 100) / 2 = 60 / 2 = 30.
The final answer is: ####30</t>
  </si>
  <si>
    <t>A band's members each earn $20 per gig. If there are 4 members and they've earned $400, how many gigs have they played?</t>
  </si>
  <si>
    <t>The band earns $80 per gig because 4 x 20 = &lt;&lt;4*20=80&gt;&gt;80
They played 5 gigs because 400 / 80 = &lt;&lt;400/80=5&gt;&gt;5
#### 5</t>
  </si>
  <si>
    <t>Let's break it down step by step:
1. Each member earns $20 per gig.
2. There are 4 members, so the total earnings per gig is $20 x 4 = $80.
3. They've earned a total of $400.
4. To find out how many gigs they've played, we can divide the total earnings by the earnings per gig: $400 ÷ $80 = 5.
So, the band has played 5 gigs.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</si>
  <si>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</si>
  <si>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</si>
  <si>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To find the total cost of the trees, we need to calculate the total number of trees Holly needs to cover the length of her fence. 
First, we need to convert the length of the fence from yards to feet, since the width of the trees is given in feet. 
1 yard = 3 feet
25 yards = 25 * 3 = 75 feet
Now, we need to find out how many trees can fit along the fence line. 
Width of each tree = 1.5 feet
Total length of the fence = 75 feet
Number of trees = Total length of the fence / Width of each tree
= 75 / 1.5
= 50
Now that we know Holly needs 50 trees, we can calculate the total cost.
Cost of each tree = $8.00
Number of trees = 50
Total cost = Cost of each tree * Number of trees
= $8.00 * 50
= $400.00
####400.00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</si>
  <si>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</si>
  <si>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</si>
  <si>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To find the distance between each of the consecutive checkpoints, we need to first find the total distance between the first and last checkpoints, which is 1 mile (from the start line to the first checkpoint) + 1 mile (from the last checkpoint to the finish line) = 2 miles.
Since there are 4 checkpoints, we can divide the total distance between the first and last checkpoints by 4 to find the distance between each of the consecutive checkpoints.
Distance between consecutive checkpoints = Total distance between first and last checkpoints / Number of checkpoints
= 2 miles / 4
= 0.5 miles
So, each of the consecutive checkpoints is 0.5 miles apart.</t>
  </si>
  <si>
    <t>James buys 100 tennis balls and gives half of them away.  The other half he puts into 5 large containers.  How many tennis balls go in each container?</t>
  </si>
  <si>
    <t>He keeps 100/2=&lt;&lt;100/2=50&gt;&gt;50 tennis balls
So 50/5=&lt;&lt;50/5=10&gt;&gt;10 go in each container
#### 10</t>
  </si>
  <si>
    <t>Let's break down the problem step by step:
1. James buys 100 tennis balls.
2. He gives half of them away, so he is left with 100 / 2 = 50 tennis balls.
3. He puts the remaining 50 tennis balls into 5 large containers.
4. To find out how many tennis balls go into each container, we divide the total number of tennis balls (50) by the number of containers (5).
50 ÷ 5 = 10
So, 10 tennis balls go into each container.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</si>
  <si>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</si>
  <si>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</si>
  <si>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To find the volume of the cooked spinach, we need to calculate 20% of the initial volume of 40 ounces.
20% of 40 ounces = 0.20 x 40 = 8 ounces
So, the volume of the cooked spinach is 8 ounces.
Now, let's add the volumes of the cooked spinach, cream cheese, and eggs to find the total volume of the quiche:
8 ounces (cooked spinach) + 6 ounces (cream cheese) + 4 ounces (eggs) = 18 ounces
The total volume of the quiche is 18 ounces.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</si>
  <si>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</si>
  <si>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</si>
  <si>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Let's break down the problem step by step:
1. Nadine spent a total of $56.
2. She bought a table for $34.
3. The remaining amount she spent on chairs is $56 - $34 = $22.
4. Since she bought 2 chairs, the cost of one chair is $22 ÷ 2 = $11.
So, one chair cost $11.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</si>
  <si>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</si>
  <si>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</si>
  <si>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Let's break down the problem step by step:
1. Total number of people in the church = 200
2. Number of children present = 80
3. Number of male adults = 60
To find the number of female adults, we need to subtract the number of children and male adults from the total number of people.
Number of female adults = Total number of people - (Number of children + Number of male adults)
= 200 - (80 + 60)
= 200 - 140
= 60
Therefore, the number of female adults present in the church was 60.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</si>
  <si>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</si>
  <si>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</si>
  <si>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To find out how many planks Colbert needs to buy from the store, we need to calculate how many planks he already has and subtract that from the total number of planks needed.
First, let's calculate the number of planks Colbert gets from his storage, parents, and friends.
- A quarter of the planks come from Colbert's storage: 
  1/4 * 200 = 50 planks
- Half of the planks come from Colbert's parents: 
  1/2 * 200 = 100 planks
- Colbert gets 20 planks from his friends.
Now, let's add up the number of planks Colbert already has:
50 (storage) + 100 (parents) + 20 (friends) = 170 planks
Since Colbert needs 200 planks in total, we subtract the number of planks he already has from the total:
200 (total) - 170 (already has) = 30 planks
Therefore, Colbert needs to buy 30 planks from the store to finish his treehouse.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</si>
  <si>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</si>
  <si>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</si>
  <si>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Let's break down the problem step by step:
1. Sam earned $200 in the first month.
2. In the second month, he earned $150 more than the first month, so he earned $200 + $150 = $350.
3. To find the total amount earned in two months, we add the earnings of both months: $200 + $350 = $550.
4. Since Sam earns $10 an hour, we can find the total number of hours he spent tutoring by dividing the total earnings by his hourly rate: $550 ÷ $10 = 55 hours.
Therefore, Sam spent 55 hours tutoring for two months.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</si>
  <si>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</si>
  <si>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</si>
  <si>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</si>
  <si>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</si>
  <si>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Let's break down the problem step by step:
1. Annie started with 20 brownies.
2. She gave half of them to the school administrator, so she gave away 20 / 2 = 10 brownies.
   Now, she has 20 - 10 = 10 brownies left.
3. She gave half of the remaining brownies to Carl, so she gave away 10 / 2 = 5 brownies.
   Now, she has 10 - 5 = 5 brownies left.
4. She gave 2 brownies to Simon, so she gave away 2 brownies.
   Now, she has 5 - 2 = 3 brownies left.
Therefore, Annie has 3 brownies left.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</si>
  <si>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</si>
  <si>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</si>
  <si>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To find out how much Maria will spend on soap for the entire year, we need to first determine how many bars of soap she needs for the year.
Since the soap lasts for 2 months, she will need 12/2 = 6 bars of soap for the year.
The cost of 6 bars of soap is 6 x $8.00 = $48.00.
Therefore, Maria will spend $48.00 on soap for the entire year.
####48.00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</si>
  <si>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</si>
  <si>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</si>
  <si>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To find the total amount of money saved, we need to convert the coins to their respective values and then add them up.
1. Teagan saved 200 pennies. Since 1 penny is worth $0.01, Teagan saved:
200 pennies x $0.01/penny = $2.00
2. Rex has 100 nickels. Since 1 nickel is worth $0.05, Rex has:
100 nickels x $0.05/nickel = $5.00
3. Toni has 330 dimes. Since 1 dime is worth $0.10, Toni has:
330 dimes x $0.10/dime = $33.00
Now, let's add up the values:
$2.00 + $5.00 + $33.00 = $40.00
The final answer is: ####40.00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</si>
  <si>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</si>
  <si>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</si>
  <si>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To find out how much Gary will earn, we need to calculate the number of cakes and cupcakes he can make and then multiply that by their respective prices.
First, let's calculate the number of cakes he can make:
Gary has 4 pounds of flour to make cakes, and each cake requires 0.5 pounds of flour. So, the number of cakes he can make is:
4 pounds / 0.5 pounds per cake = 8 cakes
Next, let's calculate the number of cupcakes he can make:
Gary has 2 pounds of flour to make cupcakes, and each cupcake requires 1/5 pounds of flour. So, the number of cupcakes he can make is:
2 pounds / (1/5 pounds per cupcake) = 2 pounds * 5 = 10 cupcakes
Now, let's calculate the total amount of money Gary will earn from selling the cakes and cupcakes:
Cakes: 8 cakes * $2.5 per cake = $20
Cupcakes: 10 cupcakes * $1 per cupcake = $10
Total earnings: $20 + $10 = $30
Therefore, Gary will earn $30.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</si>
  <si>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</si>
  <si>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</si>
  <si>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To find the total number of emus, we multiply the number of pens by the number of emus in each pen:
4 pens x 6 emus/pen = 24 emus
Since half the emus are females, we divide the total number of emus by 2:
24 emus / 2 = 12 female emus
Since each female emu lays 1 egg per day, we multiply the number of female emus by 7 (the number of days in a week):
12 female emus x 7 days/week = 84 eggs/week
So, John gets 84 eggs per week.</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</si>
  <si>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</si>
  <si>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</si>
  <si>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Let's call the amount of dog food Elise already had "x".
We know that after buying the 15kg and 10kg bags, she has a total of 40kg of dog food.
So, we can set up the equation:
x + 15 + 10 = 40
Combine the constants:
x + 25 = 40
Subtract 25 from both sides:
x = 15
So, Elise already had 15kg of dog food.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</si>
  <si>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</si>
  <si>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</si>
  <si>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Let's break it down step by step:
1. At 30, Anika is 4/3 the age of Maddie. This means that Maddie's age is 3/4 of Anika's age.
Let's denote Maddie's age as M and Anika's age as A. We can write the equation:
A = (4/3)M
2. We are given that Anika is 30 years old, so we can substitute A = 30 into the equation:
30 = (4/3)M
3. To find Maddie's age, we can multiply both sides of the equation by 3/4:
M = 30 × (3/4)
M = 22.5
4. Now that we know Maddie's current age, we can find their average age in 15 years. We will add 15 to both their current ages and then divide by 2:
Average age in 15 years = ((30 + 15) + (22.5 + 15)) / 2
= (45 + 37.5) / 2
= 82.5 / 2
= 41.25
So, their average age in 15 years will be 41.25 years.
####41.25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</si>
  <si>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</si>
  <si>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</si>
  <si>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Step 1: Determine the number of sections in each row.
Since each row is split into two sections by the aisle, there are 2 sections in each row.
Step 2: Calculate the total number of sections in the bus.
There are 13 rows, and each row has 2 sections. So, the total number of sections is 13 * 2 = 26.
Step 3: Calculate the total number of students that can be seated on the bus.
Since only 2 students are allowed to sit in each section, the total number of students that can be seated is 26 * 2 = 52.
The final answer is: ####52</t>
  </si>
  <si>
    <t>If you double a number and add 5 to the result, then that's 20 more than half of the original number. What's the original number?</t>
  </si>
  <si>
    <t>Let x be the original number.
2*x+5=20+x/2
2*x-x/2=15
4*x-x=30
3*x=30
x=&lt;&lt;10=10&gt;&gt;10
#### 4</t>
  </si>
  <si>
    <t>Let's break down the problem step by step.
Let the original number be x.
According to the problem, if you double the number and add 5 to the result, it's equal to 20 more than half of the original number.
So, we can write the equation:
2x + 5 = (x/2) + 20
To solve for x, we'll start by getting rid of the fraction. We can do this by multiplying both sides of the equation by 2, which will eliminate the fraction:
4x + 10 = x + 40
Next, we'll subtract x from both sides to get all the x terms on one side:
3x + 10 = 40
Now, we'll subtract 10 from both sides to isolate the x term:
3x = 30
Finally, we'll divide both sides by 3 to solve for x:
x = 10
So, the original number is 10.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</si>
  <si>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</si>
  <si>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</si>
  <si>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Let's break down the problem step by step:
1. Cynthia started with 67 potatoes.
2. She cut 13 of them into wedges, so she was left with 67 - 13 = 54 potatoes.
3. She halved the remaining 54 potatoes, so she had 54 / 2 = 27 potatoes for french fries and 27 potatoes for potato chips.
4. Since one potato can make 20 potato chips, she made 27 x 20 = 540 potato chips.
5. Since one potato can be cut into 8 wedges, the 13 potatoes that were cut into wedges can make 13 x 8 = 104 wedges.
6. To find out how many more potato chips than wedges Cynthia made, we subtract the number of wedges from the number of chips: 540 - 104 = 436.
The final answer is: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</si>
  <si>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</si>
  <si>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</si>
  <si>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To find the teammates' points, we need to first find the total points scored by Lizzie, Nathalie, and Aimee.
Lizzie's score = 4 points
Nathalie's score = 3 more than Lizzie's score = 4 + 3 = 7 points
Aimee's score = 2 times the score of Lizzie and Nathalie combined = 2(4 + 7) = 2(11) = 22 points
The total points scored by Lizzie, Nathalie, and Aimee = 4 + 7 + 22 = 33 points
The whole team scored 50 points, so the teammates' points = 50 - 33 = 17 points
The final answer is: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</si>
  <si>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</si>
  <si>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</si>
  <si>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To find the area of the rectangle, we need to multiply its width by its length.
Given that the width is 7 inches and the length is 4 times the width, we can calculate the length as follows:
Length = 4 × Width
= 4 × 7
= 28 inches
Now, we can find the area by multiplying the width by the length:
Area = Width × Length
= 7 × 28
= 196 square inches
Therefore, the area of the rectangle is 196 square inches.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</si>
  <si>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</si>
  <si>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</si>
  <si>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To find the amount Cody paid, we need to follow the order of operations:
1. Calculate the taxes: 5% of $40 = 0.05 * $40 = $2
2. Calculate the total price after taxes: $40 + $2 = $42
3. Apply the $8 discount: $42 - $8 = $34
4. Split the final price equally with his friend: $34 / 2 = $17
So, Cody paid $17.
####17</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</si>
  <si>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</si>
  <si>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</si>
  <si>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Let's break down the problem step by step:
1. Michael already has 4 packs of crayons.
2. He wants to buy 2 more packs of crayons.
3. The cost of one pack of crayons is $2.5.
4. To find the total cost of the 2 packs he wants to buy, multiply the cost of one pack by 2: 2.5 x 2 = $5.
5. To find the total number of packs Michael will have after the purchase, add the packs he already has to the packs he is buying: 4 + 2 = 6 packs.
6. To find the total worth of all the packs of crayons Michael will have, multiply the total number of packs by the cost of one pack: 6 x 2.5 = $15.
The final answer is: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</si>
  <si>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</si>
  <si>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</si>
  <si>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To find the total cost, we need to add up the cost of each item:
5 pieces of hamburger: 5 x $3 = $15
4 sets of French fries: 4 x $1.20 = $4.80
5 cups of soda: 5 x $0.5 = $2.50
1 platter of spaghetti: $2.70
Now, let's add up the total cost:
$15 + $4.80 + $2.50 + $2.70 = $25
Since there are 5 friends, we need to divide the total cost by 5 to find out how much each of them will pay:
$25 ÷ 5 = $5
So, each of them will pay $5.
####5</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</si>
  <si>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</si>
  <si>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</si>
  <si>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To find the weight gained from eating small animals, we need to first find the total weight gained by the bear.
Let's break down the information:
* The bear gained a fifth of the weight it needed from berries during summer. Since it needed to gain 1000 pounds, it gained 1000/5 = 200 pounds from berries.
* During autumn, it gained twice that amount from acorns, which is 2 x 200 = 400 pounds from acorns.
* Salmon made up half of the remaining weight it had needed to gain. Since the bear gained 200 pounds from berries and 400 pounds from acorns, it gained a total of 200 + 400 = 600 pounds from berries and acorns. This means it gained 1000 - 600 = 400 pounds from salmon.
* Now, we can find the weight gained from eating small animals. We know the bear gained 200 pounds from berries, 400 pounds from acorns, and 400 pounds from salmon. To find the weight gained from small animals, we subtract the weight gained from berries, acorns, and salmon from the total weight needed: 1000 - 200 - 400 - 400 = 100 pounds.
So, the bear gained 100 pounds from eating small animals.
The final answer is: ####100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</si>
  <si>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</si>
  <si>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</si>
  <si>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To find the weight of the soup after the fourth day, we need to calculate the weight after each day.
Day 1: 80 kg (initial weight)
Day 2: 80 kg / 2 = 40 kg
Day 3: 40 kg / 2 = 20 kg
Day 4: 20 kg / 2 = 10 kg
So, on the fourth day, the soup will weigh 10 kg.
####10</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</si>
  <si>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</si>
  <si>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</si>
  <si>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Let's break down the problem step by step:
1. Lydia planted the tree when she was 4 years old.
2. It takes 7 years for the tree to bear fruit.
3. Lydia is now 9 years old, which means 5 years have passed since she planted the tree (9 - 4 = 5).
4. Since it takes 7 years for the tree to bear fruit, and 5 years have already passed, we need to add the remaining time it takes for the tree to bear fruit to Lydia's current age.
5. 7 (years for the tree to bear fruit) - 5 (years that have already passed) = 2 years.
6. Lydia will be 9 (her current age) + 2 (remaining years for the tree to bear fruit) = 11 years old when she gets to eat an apple from her tree for the first time.
####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</si>
  <si>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</si>
  <si>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</si>
  <si>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To find out how long it takes Ann to frost 10 cakes with her sprained wrist, we need to first find out how long it takes her to frost 10 cakes without a sprained wrist.
Since Ann can frost a cake in 5 minutes, it would take her 5 x 10 = 50 minutes to frost 10 cakes without a sprained wrist.
With a sprained wrist, it takes her 8 minutes to frost a cake. So, it would take her 8 x 10 = 80 minutes to frost 10 cakes with her sprained wrist.
To find out how much longer it takes her to frost 10 cakes with her sprained wrist, we need to subtract the time it takes her to frost 10 cakes without a sprained wrist from the time it takes her to frost 10 cakes with a sprained wrist.
80 - 50 = 30 minutes
Therefore, it would take her 30 minutes longer to frost 10 cakes with her sprained wrist.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</si>
  <si>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</si>
  <si>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</si>
  <si>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Step 1: First, let's calculate the cost of one football game ticket. Since eight movie tickets cost 2 times as much as one football game ticket, we can set up the equation: 8 * 30 = 2 * x, where x is the cost of one football game ticket.
Step 2: Solve for x by dividing both sides of the equation by 2: x = (8 * 30) / 2 = 120.
Step 3: Now that we know the cost of one football game ticket, we can calculate the total cost of five football game tickets: 5 * 120 = 600.
Step 4: Next, we calculate the total cost of eight movie tickets: 8 * 30 = 240.
Step 5: Finally, we add the total cost of the football game tickets and the movie tickets to find the total amount Chandler will pay: 600 + 240 = 840.
The final answer is: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</si>
  <si>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</si>
  <si>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</si>
  <si>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To find out how many days it will take Chris to hold his breath for 90 seconds, we need to find the number of days it will take for him to reach 90 seconds.
Let's analyze the pattern of Chris's progress:
Day 1: 10 seconds
Day 2: 20 seconds (10 seconds more than Day 1)
Day 3: 30 seconds (10 seconds more than Day 2)
We can see that Chris is increasing his breath-holding time by 10 seconds each day.
To find the number of days it will take Chris to reach 90 seconds, we can set up an equation:
10 + 10(x - 1) = 90
where x is the number of days.
Simplifying the equation:
10 + 10x - 10 = 90
10x = 90 + 10 - 10
10x = 90
Dividing both sides by 10:
x = 90 / 10
x = 9
So, it will take Chris 9 days to reach 90 seconds.
The final answer is: ####9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</si>
  <si>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</si>
  <si>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</si>
  <si>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From 4 pm - 5 pm, they serve 8 cars every 15 minutes.  There are 2 15-minute intervals in this hour, so they serve 8 * 2 = 16 cars.  From 5 pm - 6 pm, they serve 12 cars every 15 minutes.  There are 3 15-minute intervals in this hour, so they serve 12 * 3 = 36 cars.  In total, they serve 16 + 36 = 52 cars.
#### 52</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</si>
  <si>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</si>
  <si>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</si>
  <si>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Let's break down the problem step by step:
1. David has 15 shells.
2. Mia has 4 times as many shells as David, so Mia has 4 × 15 = 60 shells.
3. Ava has 20 more shells than Mia, so Ava has 60 + 20 = 80 shells.
4. Alice has half the number of shells Ava has, so Alice has 80/2 = 40 shells.
5. To find the total number of shells, we add the number of shells each person has: 15 (David) + 60 (Mia) + 80 (Ava) + 40 (Alice) = 195.
The final answer is: ####195</t>
  </si>
  <si>
    <t>Tyrah has six times as many pencils as Sarah has. Tim has eight times as many pencils as Sarah. If Tyrah has 12 pencils, how many does Tim have?</t>
  </si>
  <si>
    <t>Sarah has 12/6=&lt;&lt;12/6=2&gt;&gt;2 pencils
Tim has 8*2=&lt;&lt;8*2=16&gt;&gt;16 pencils
#### 16</t>
  </si>
  <si>
    <t>Let's break it down step by step:
1. Tyrah has 6 times as many pencils as Sarah, and Tyrah has 12 pencils. So, we can set up an equation:
12 = 6 × (number of pencils Sarah has)
To find the number of pencils Sarah has, we can divide both sides by 6:
12 ÷ 6 = (number of pencils Sarah has)
2 × 2 = (number of pencils Sarah has)
So, Sarah has 2 pencils.
2. Tim has 8 times as many pencils as Sarah. Since Sarah has 2 pencils, we can multiply 2 by 8 to find the number of pencils Tim has:
2 × 8 = 16
Therefore, Tim has 16 pencils.
The final answer is: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</si>
  <si>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</si>
  <si>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</si>
  <si>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To find the total number of marks Amaya scored in all the subjects, we need to find the marks she scored in Maths, Arts, and Social Studies.
We are given that Amaya scored 70 in Music. We are also given that she scored 1/10 less in Maths than in Music. This means she scored 9/10 of 70 in Maths, which is 63.
We are also given that Amaya scored 20 marks fewer in Maths than in Arts. This means she scored 20 more in Arts than in Maths. So, she scored 63 + 20 = 83 in Arts.
We are also given that Amaya got 10 marks more in Social Studies than she got in Music. This means she scored 70 + 10 = 80 in Social Studies.
To find the total number of marks she scored in all the subjects, we add the marks she scored in each subject:
Music: 70
Maths: 63
Arts: 83
Social Studies: 80
Total marks = 70 + 63 + 83 + 80 = 296
The final answer is: ####296</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</si>
  <si>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</si>
  <si>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</si>
  <si>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To find the average weight of all 14 men and women, we need to find the total weight of all 14 individuals and then divide by 14.
First, let's find the total weight of the 8 men:
8 men x 190 pounds/man = 1520 pounds
Next, let's find the total weight of the 6 women:
6 women x 120 pounds/woman = 720 pounds
Now, let's add the total weight of the men and women:
1520 pounds + 720 pounds = 2240 pounds
Finally, let's divide the total weight by 14 to find the average weight:
2240 pounds / 14 = 160 pounds
The final answer is: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</si>
  <si>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</si>
  <si>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</si>
  <si>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Let's break down the problem step by step:
1. John writes 3 stories every week, and each story is 50 pages, so he writes 3 x 50 = 150 pages per week.
2. Over 12 weeks, he writes a total of 150 x 12 = 1800 pages of short stories.
3. He also writes a novel that is 1200 pages each year, and since we are considering a 12-week period, we can assume he writes 1/12 of the novel, which is 1200 / 12 = 100 pages.
4. In total, he writes 1800 + 100 = 1900 pages over 12 weeks.
5. Each sheet of paper can hold 2 pages, so he needs 1900 / 2 = 950 sheets of paper.
6. Since a ream contains 500 sheets, he needs 950 / 500 = 1.9 reams of paper.
However, since we can't buy a fraction of a ream, we need to round up to the nearest whole number. Therefore, John needs to buy 2 reams of paper.
The final answer is: ####2</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</si>
  <si>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</si>
  <si>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</si>
  <si>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To find the total value of Alice's money now, we need to follow these steps:
1. First, we need to find the total value of the quarters Alice has. Since each quarter is worth $0.25, we can find the total value by multiplying the number of quarters by the value of each quarter.
   Total value of quarters = 20 quarters * $0.25/quarter = $5
2. Since Alice exchanged her quarters for nickels, we need to find the total number of nickels she got. Since each quarter is worth $0.25, and each nickel is worth $0.05, we can find the total number of nickels by dividing the total value of the quarters by the value of each nickel.
   Total number of nickels = Total value of quarters / Value of each nickel
   Total number of nickels = $5 / $0.05
   Total number of nickels = 100 nickels
3. Now, we need to find the total value of the nickels. Since each nickel is worth $0.05, we can find the total value by multiplying the total number of nickels by the value of each nickel.
   Total value of nickels = Total number of nickels * Value of each nickel
   Total value of nickels = 100 nickels * $0.05/nickel
   Total value of nickels = $5
4. However, 20% of the nickels are iron nickels worth $3 each. To find the total value of the iron nickels, we need to find the total number of iron nickels by multiplying the total number of nickels by the percentage of iron nickels.
   Total number of iron nickels = Total number of nickels * Percentage of iron nickels
   Total number of iron nickels = 100 nickels * 20% = 20 nickels
5. Now, we can find the total value of the iron nickels by multiplying the total number of iron nickels by the value of each iron nickel.
   Total value of iron nickels = Total number of iron nickels * Value of each iron nickel
   Total value of iron nickels = 20 nickels * $3/nickel
   Total value of iron nickels = $60
6. Finally, we can find the total value of Alice's money now by subtracting the total value of the iron nickels from the total value of the nickels.
   Total value of Alice's money now = Total value of nickels - Total value of iron nickels
   Total value of Alice's money now = $5 - $60
   Total value of Alice's money now = -$55
However, this is not possible since the total value of Alice's money now cannot be negative.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Now, we can find the total value of the iron nickels by multiplying the total number of iron nickels by the value of each iron nickel.
   Total value of iron nickels = Total number of iron nickels * Value of each iron nickel
   Total value of iron nickels = 20 nickels * $3/nickel
   Total value of iron nickels = $60
However, this is not possible since the total value of the iron nickels cannot be greater than the total value of the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Now, we can find the total value of the iron nickels by multiplying the total number of iron nickels by the value of each iron nickel.
   Total value of iron nickels = Total number of iron nickels * Value of each iron nickel
   Total value of iron nickels = 20 nickels * $3/nickel
   Total value of iron nickels = $60
However, this is not possible since the total value of the iron nickels cannot be greater than the total value of the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 not possible since the total number of iron nickels cannot be greater than the total number of nickels. We need to reconsider the problem.
Let's reconsider the problem. Since 20% of the nickels are iron nickels worth $3 each, we can find the total value of the iron nickels by multiplying the total number of nickels by the percentage of iron nickels.
   Total number of nickels = 100 nickels
   Total number of iron nickels = Total number of nickels * Percentage of iron nickels
   Total number of iron nickels = 100 nickels * 20% = 20 nickels
However, this is</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</si>
  <si>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</si>
  <si>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</si>
  <si>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To find the total points scored by Tim, we need to calculate the points scored from singles and tetrises separately and then add them together.
For singles: 6 singles * 1000 points/single = 6000 points
For tetrises: 4 tetrises * 8 * 1000 points/tetris = 32000 points
Total points scored by Tim = points from singles + points from tetrises
= 6000 + 32000
= 38000
####38000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</si>
  <si>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</si>
  <si>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</si>
  <si>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Let's break down the problem step by step:
1. In the first hour, the machine is cold, and it takes 6 minutes to produce each pot. So, in the first hour, the machine produces:
   60 minutes / 6 minutes per pot = 10 pots
2. In the last hour, the machine is warm, and it takes 5 minutes to produce each pot. So, in the last hour, the machine produces:
   60 minutes / 5 minutes per pot = 12 pots
3. To find the difference in the number of pots produced in the last hour compared to the first hour, we subtract the number of pots produced in the first hour from the number of pots produced in the last hour:
   12 pots - 10 pots = 2 pots
Therefore, 2 additional pots are produced in the last hour of the day compared to the first.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</si>
  <si>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</si>
  <si>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</si>
  <si>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To find out how much Tom paid, we need to calculate the total cost of the shirts, apply the 20% discount, add the 10% tax, and then find the final amount.
Step 1: Calculate the total cost of the shirts
Tom buys 5 t-shirts from each of his 4 favorite fandoms, so he buys 5 * 4 = 20 shirts in total.
The shirts normally cost $15 each, so the total cost is 20 * $15 = $300.
Step 2: Apply the 20% discount
The discount is 20% of $300, which is 0.2 * $300 = $60.
So, the discounted price is $300 - $60 = $240.
Step 3: Add the 10% tax
The tax is 10% of $240, which is 0.1 * $240 = $24.
So, the final amount Tom paid is $240 + $24 = $264.
The final answer is: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</si>
  <si>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</si>
  <si>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</si>
  <si>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To find out how much John pays, we need to calculate the total cost of the pills for 30 days, and then subtract the amount covered by the insurance.
1. Calculate the total cost of the pills for 30 days:
2 pills/day × 30 days = 60 pills
Cost per pill: $1.5
Total cost for 30 days: 60 pills × $1.5/pill = $90
2. Calculate the amount covered by the insurance:
Insurance coverage: 40%
Amount covered by insurance: $90 × 0.4 = $36
3. Calculate the amount John pays:
Amount John pays: $90 - $36 = $54
Therefore, John pays $54 in a 30-day month.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</si>
  <si>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</si>
  <si>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</si>
  <si>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To find the time it takes to row the lake, we need to first find the total distance around the lake, which is the perimeter of the square. The perimeter of a square is 4 times the length of one side, so the total distance is 4 * 15 = 60 miles.
Since Jake can row at twice the speed he can swim, and it takes him 20 minutes to swim 1 mile, it takes him 10 minutes to row 1 mile.
To find the time it takes to row the lake, we need to divide the total distance by the speed. Since the speed is in miles per minute, we need to convert the time from minutes to hours. There are 60 minutes in an hour, so we can divide the total distance by 60 to get the time in hours.
Time = Total Distance / Speed
Time = 60 miles / (1 mile / 10 minutes)
Time = 60 * 10 minutes
Time = 600 minutes
Time = 600 / 60
Time = 10 hours
The final answer is: ####10</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</si>
  <si>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</si>
  <si>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</si>
  <si>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Let's break down the problem step by step:
1. Taegan has a total of 10 tickets (5 from the games + 5 found on the floor).
2. Each ticket is worth $3, so the total value of the tickets is 10 x $3 = $30.
3. Since Taegan won an equal number of tickets from each of the 5 games, let's call the number of tickets she won from each game "x".
4. Since she won an equal number of tickets from each game, the total number of tickets she won is 5x.
5. We know that the total number of tickets she has is 10, and the total number of tickets she won is 5x. Therefore, we can set up the equation: 5x + 5 = 10
6. Solving for x, we get: 5x = 5
7. Dividing both sides by 5, we get: x = 1
So, Taegan won 1 ticket from each of the 5 games.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</si>
  <si>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</si>
  <si>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</si>
  <si>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Let's break down the problem step by step:
1. We know that 3 shirts cost $15 each, so the total cost of these shirts is:
3 shirts x $15/shirt = $45
2. We also know that the remaining shirts cost $20 each. Since there are 5 shirts in total, and 3 of them cost $15 each, the remaining shirts are 5 - 3 = 2 shirts.
3. The total cost of the remaining 2 shirts is:
2 shirts x $20/shirt = $40
4. To find the total cost of all 5 shirts, we add the cost of the 3 shirts that cost $15 each to the cost of the 2 shirts that cost $20 each:
$45 + $40 = $85
Therefore, the cost of all 5 shirts is $85.
####85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</si>
  <si>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</si>
  <si>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</si>
  <si>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Let's break down the problem step by step:
1. You bought 2 shirts and 3 pairs of pants for $120 in total.
2. When you returned all 3 pairs of pants, you were refunded 25% of what you originally paid, which means you got back 25% of $120 = $30.
3. This means you were left with $120 - $30 = $90 after returning the pants.
4. Since you returned 3 pairs of pants, the cost of 3 pairs of pants is $30.
5. Let's say the price of 1 pair of pants is x. Then, the cost of 3 pairs of pants is 3x.
6. We know that 3x = $30, so x = $10.
7. Now, let's find the cost of 2 shirts. You paid $120 for 2 shirts and 3 pairs of pants, and you got back $30 after returning the pants. So, the cost of 2 shirts is $120 - $30 = $90.
8. Let's say the price of 1 shirt is y. Then, the cost of 2 shirts is 2y.
9. We know that 2y = $90, so y = $45.
Therefore, the price of 1 shirt is $45.
#### 45</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</si>
  <si>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</si>
  <si>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</si>
  <si>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</si>
  <si>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</si>
  <si>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To find the total number of marbles, we need to add the marbles each person had:
14 + 20 + 19 + 7 = 60
Now, we need to divide the total number of marbles by the number of friends to find out how many marbles each friend had at the end of the day:
60 ÷ 4 = 15
So, each friend had 15 marbles at the end of the day.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</si>
  <si>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</si>
  <si>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</si>
  <si>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</si>
  <si>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</si>
  <si>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Let's break down the problem step by step:
1. Tina saved money in three months:
   - June: $27
   - July: $14
   - August: $21
Total money saved = $27 + $14 + $21 = $62
2. Tina spent money on two items:
   - Books: $5
   - New shoes: $17
Total money spent = $5 + $17 = $22
3. To find out how much money Tina has left, we subtract the total money spent from the total money saved:
   Money left = Total money saved - Total money spent
   Money left = $62 - $22
   Money left = $40
Therefore, Tina has $40 left.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</si>
  <si>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</si>
  <si>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</si>
  <si>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Let's break down the problem step by step:
1. James eats 30 ounces of pistachios every 5 days.
2. To find out how many ounces he eats per day, we divide 30 ounces by 5 days: 30 ÷ 5 = 6 ounces per day.
3. Since there are 7 days in a week, we multiply the daily consumption by 7 to find out how many ounces he eats per week: 6 ounces/day × 7 days/week = 42 ounces/week.
4. Each can of pistachios is 5 ounces, so to find out how many cans James eats per week, we divide the weekly consumption by the can size: 42 ounces/week ÷ 5 ounces/can = 8.4 cans/week.
5. Since each can costs $10, we multiply the number of cans eaten per week by the cost per can to find the weekly expenditure: 8.4 cans/week × $10/can = $84/week.
Therefore, James spends $84 per week on pistachios.
#### 84</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</si>
  <si>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</si>
  <si>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</si>
  <si>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To find out how many more points Jimmy can lose and still pass, we need to first calculate his total points earned and then subtract the points he lost for bad behavior.
Jimmy earned 20 points for each of the 3 exams, so his total points earned is:
20 * 3 = 60 points
He lost 5 points for bad behavior, so we subtract that from his total points earned:
60 - 5 = 55 points
Since Jimmy needs at least 50 points to pass, we can subtract his current points from the passing score to find out how many more points he can lose:
50 - 55 = -5 points
However, this means Jimmy is currently 5 points short of passing, so he can actually lose up to 5 more points and still pass.
The final answer is: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</si>
  <si>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</si>
  <si>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</si>
  <si>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To find out how much money Isabel had left over, we need to follow the sequence of events:
1. Isabel spent half of $204, which is $102. So, she has $204 - $102 = $102 left.
2. She then spent half of the remaining money, which is $102 / 2 = $51. So, she has $102 - $51 = $51 left.
Therefore, Isabel has $51 left over.
####51</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</si>
  <si>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</si>
  <si>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</si>
  <si>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The kingfisher caught 13 + 7 = 20 fish.
The pelican and kingfisher caught a total of 13 + 20 = 33 fish.
The fisherman caught 3 * 33 = 99 fish.
The pelican caught 13 fish.
The fisherman caught 99 - 13 = 86 more fish than the pelican.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</si>
  <si>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</si>
  <si>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</si>
  <si>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To find out how many index cards Carl bought, we need to multiply the number of students by the number of index cards each student received, and then multiply that by the number of periods he teaches.
Number of students per period = 30
Number of index cards per student = 10
Number of periods = 6
Total number of index cards = 30 * 10 * 6 = 1800
Since a 50-pack of index cards costs $3, we need to find out how many packs Carl bought.
Number of packs = Total number of index cards / 50
= 1800 / 50
= 36
Now, we can find the total cost by multiplying the number of packs by the cost per pack.
Total cost = Number of packs * Cost per pack
= 36 * 3
= 108
The final answer is: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</si>
  <si>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</si>
  <si>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</si>
  <si>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Let's break down the problem step by step:
1. Josie counted 80 antelopes.
2. She counted 34 more rabbits than antelopes, so the number of rabbits is:
   80 (antelopes) + 34 = 114 rabbits
3. The total number of antelopes and rabbits combined is:
   80 (antelopes) + 114 (rabbits) = 194
4. Josie counted 42 fewer hyenas than the total number of antelopes and rabbits combined, so the number of hyenas is:
   194 - 42 = 152 hyenas
5. She counted 50 more wild dogs than hyenas, so the number of wild dogs is:
   152 + 50 = 202 wild dogs
6. The number of leopards is half the number of rabbits, so the number of leopards is:
   114 / 2 = 57 leopards
7. To find the total number of animals, we add the number of each type of animal:
   80 (antelopes) + 114 (rabbits) + 152 (hyenas) + 202 (wild dogs) + 57 (leopards) = 505
The total number of animals that Josie counted is 505.
####505</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</si>
  <si>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</si>
  <si>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</si>
  <si>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Let's start by using the information that for every 9 spotted mushrooms, there is 1 gilled mushroom. This means that the ratio of spotted mushrooms to gilled mushrooms is 9:1.
Since there are 30 mushrooms in total, we can set up a proportion to represent the situation:
Spotted mushrooms : Gilled mushrooms = 9 : 1
Total mushrooms = 30
Let's say the number of gilled mushrooms is x. Then, the number of spotted mushrooms is 9x.
We know that the total number of mushrooms is 30, so we can set up the equation:
9x + x = 30
Combine like terms:
10x = 30
Divide both sides by 10:
x = 3
So, there are 3 gilled mushrooms.
The final answer is: ####3</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</si>
  <si>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</si>
  <si>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</si>
  <si>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Let's break it down step by step:
1. Arwen picked 20 tulips.
2. Elrond picked twice as many tulips as Arwen, so Elrond picked 2 x 20 = 40 tulips.
3. To find the total number of tulips they picked, we add the number of tulips Arwen picked to the number of tulips Elrond picked: 20 + 40 = 60
So, they were able to get 60 tulips in total.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</si>
  <si>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</si>
  <si>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</si>
  <si>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Let's break down the information:
Robie has 5 boxes with him, and each box has 10 cards, so he has 5 x 10 = 50 cards in the boxes he has.
He gave away 2 boxes to his friends, and each box has 10 cards, so he gave away 2 x 10 = 20 cards.
He also has 5 cards that were not placed in a box.
To find out how many cards Robie had in the beginning, we need to add the cards in the boxes he has, the cards he gave away, and the cards that were not placed in a box:
50 (cards in the boxes he has) + 20 (cards he gave away) + 5 (cards not in a box) = 75
So, Robie had 75 cards in the beginning.
####75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</si>
  <si>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</si>
  <si>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</si>
  <si>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To find out how much time Delaney missed the bus by, we need to calculate the time difference between the bus's departure time and the time he arrived at the pick-up point.
The bus leaves at 8:00 a.m. and Delaney arrives at the pick-up point at 7:50 a.m. 
The time difference is 8:00 - 7:50 = 10 minutes.
Delaney missed the bus by 10 minutes.
#### 10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</si>
  <si>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</si>
  <si>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</si>
  <si>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Let's call the original price of the car "x".
Since Eunice spent $7500, which is 25% less than the original price, we can set up the equation:
7500 = x - (25% of x)
To find 25% of x, we multiply x by 0.25:
7500 = x - 0.25x
Combine like terms:
7500 = 0.75x
Now, divide both sides by 0.75 to solve for x:
x = 7500 / 0.75
x = 10000
So, the original price of the car was $10,000.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</si>
  <si>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</si>
  <si>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</si>
  <si>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Let's break down the problem step by step:
1. Braelynn has 24 knives in her kitchen.
2. She has twice as many teaspoons as knives, so she has 2 x 24 = 48 teaspoons.
3. She bought 1/3 as many additional knives, which is 1/3 x 24 = 8 knives.
4. She bought 2/3 as many additional teaspoons, which is 2/3 x 48 = 32 teaspoons.
5. To find the total number of cutlery pieces, we need to add the original number of knives and teaspoons to the additional number of knives and teaspoons: 24 + 8 = 32 knives, and 48 + 32 = 80 teaspoons.
6. Now, we add the total number of knives and teaspoons to get the total number of cutlery pieces: 32 + 80 = 112.
The final answer is: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</si>
  <si>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</si>
  <si>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</si>
  <si>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To find the total time spent driving, we need to calculate the time spent driving to the workplace and the time spent driving back.
The distance to the workplace is 60 miles, and Terry drives at a speed of 40 miles per hour. 
Time spent driving to the workplace = Distance / Speed = 60 miles / 40 mph = 1.5 hours
Since the distance to the workplace is the same as the distance back, the time spent driving back is also 1.5 hours.
Total time spent driving = Time spent driving to the workplace + Time spent driving back = 1.5 hours + 1.5 hours = 3 hours
The final answer is: ####3</t>
  </si>
  <si>
    <t>Mason is three times younger than Sydney and Sydney is six years younger than Mason's father. If Mason is 20 years old, how old is his father?</t>
  </si>
  <si>
    <t>Sydney is 20*3 = &lt;&lt;20*3=60&gt;&gt;60 years old.
Mason’s father is 60+6 = &lt;&lt;60+6=66&gt;&gt;66 years old.
####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</si>
  <si>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</si>
  <si>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</si>
  <si>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Let's break down the problem step by step:
1. First, we need to find out how many hens Uncle Ben has. We know that there are 440 chickens in total, and 39 are roosters. So, the number of hens is:
440 (total chickens) - 39 (roosters) = 401 hens
2. Next, we need to find out how many hens lay eggs. We know that 15 of the hens do not lay eggs, so the number of egg-laying hens is:
401 (total hens) - 15 (non-egg-laying hens) = 386 egg-laying hens
3. Now, we need to find out how many eggs these hens will lay. Each egg-laying hen lays 3 eggs, so the total number of eggs is:
386 (egg-laying hens) x 3 (eggs per hen) = 1158 eggs
Therefore, Uncle Ben will have 1158 eggs.
####1158</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</si>
  <si>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</si>
  <si>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</si>
  <si>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Let's break down the problem step by step:
1. John spent 3 years exploring the jungle.
2. He then spent half as much time writing up notes about his travels. Since he spent 3 years exploring, half of that time is 3/2 = 1.5 years.
3. So, he spent 1.5 years writing up notes.
4. After that, it took him 0.5 years to write his book.
5. To find the total time spent on the book and exploring, we need to add the time spent exploring (3 years), the time spent writing notes (1.5 years), and the time spent writing the book (0.5 years).
Total time = 3 + 1.5 + 0.5 = 5 years
Therefore, John spent a total of 5 years on his book and exploring.</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</si>
  <si>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</si>
  <si>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</si>
  <si>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To find out how much of her savings are left, we need to subtract the cost of the earrings and the necklace from her initial savings.
Initial savings: $80
Cost of earrings: $23
Cost of necklace: $48
Total cost: $23 + $48 = $71
Subtract the total cost from the initial savings:
$80 - $71 = $9
Scarlet has $9 left of her savings.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</si>
  <si>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</si>
  <si>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</si>
  <si>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Let's break down the problem step by step:
1. Jesse read the first 5 chapters, which were 10, 15, 27, 12, and 19 pages, respectively. To find the total number of pages he read, we need to add these numbers together:
10 + 15 = 25
25 + 27 = 52
52 + 12 = 64
64 + 19 = 83
So, Jesse read a total of 83 pages.
2. We are told that Jesse was only 1/3 of the way through the book after reading 83 pages. This means that the total number of pages in the book is 3 times the number of pages he read:
Total pages = 3 × 83
Total pages = 249
3. To find out how many pages Jesse still has to read, we need to subtract the number of pages he already read from the total number of pages:
Pages left to read = Total pages - Pages read
Pages left to read = 249 - 83
Pages left to read = 166
Therefore, Jesse still has to read 166 pages to finish the book.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</si>
  <si>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</si>
  <si>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</si>
  <si>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Let's break down the information:
1. John is twice as old as Mary, so if Mary's age is M, then John's age is 2M.
2. John is half as old as Tonya, so if Tonya's age is 60, then John's age is 60/2 = 30.
3. Since John's age is 30, we can set up the equation 2M = 30 to find Mary's age. Solving for M, we get M = 15.
4. Now we have the ages of all three: Mary (15), John (30), and Tonya (60).
5. To find the average age, we add up their ages and divide by 3: (15 + 30 + 60) / 3 = 105 / 3 = 35.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</si>
  <si>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</si>
  <si>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</si>
  <si>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Let's break down the problem step by step:
1. Annie bought 5 televisions that each cost $50, so the total cost of the televisions is:
5 x $50 = $250
2. Annie spent a total of $260, and the televisions cost $250, so the amount she spent on figurines is:
$260 - $250 = $10
3. Annie bought 10 figurines, and the total cost of the figurines is $10, so the cost of a single figurine is:
$10 ÷ 10 = $1
Therefore, a single figurine cost $1.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</si>
  <si>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</si>
  <si>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</si>
  <si>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Let's break this problem down step by step:
1. Since Cory drives his wheelchair at 12 miles per hour, and he can drive at twice the speed that Milo can roll downhill on his skateboard, we can find Milo's speed by dividing Cory's speed by 2:
Milo's speed = Cory's speed / 2 = 12 / 2 = 6 miles per hour
2. Since Milo can roll downhill on his skateboard at twice the speed that he can run, we can find Milo's running speed by dividing his skateboard speed by 2:
Milo's running speed = Milo's skateboard speed / 2 = 6 / 2 = 3 miles per hour
3. Now, we need to find out how many miles Milo can run in two hours. We can do this by multiplying Milo's running speed by the number of hours:
Distance = Milo's running speed × Time = 3 × 2 = 6 miles
Therefore, Milo can run 6 miles in two hours.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</si>
  <si>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</si>
  <si>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</si>
  <si>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Let's break it down step by step:
1. Dwayne makes $1,500 in a year.
2. Brady makes $450 more than Dwayne, so Brady makes $1,500 + $450 = $1,950 in a year.
3. To find the combined income of Brady and Dwayne, we add their individual incomes: $1,500 + $1,950 = $3,450.
The final answer is: #### 3450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</si>
  <si>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</si>
  <si>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</si>
  <si>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Let's break down the problem step by step:
1. Jimmy has 32 sheets initially.
2. Tommy has 10 more sheets than Jimmy, so Tommy has 32 + 10 = 42 sheets.
3. Ashton gives Jimmy 40 sheets, so Jimmy now has 32 + 40 = 72 sheets.
4. To find out how many more sheets Jimmy will have than Tommy, we need to subtract Tommy's sheets from Jimmy's new total: 72 - 42 = 30.
So, Jimmy will have 30 more sheets than Tommy.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</si>
  <si>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</si>
  <si>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</si>
  <si>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Let's break down the information:
* 2 ducks with 5 ducklings each: 2 x 5 = 10 ducks and ducklings
* 6 ducks with 3 ducklings each: 6 x 3 = 18 ducks and ducklings
* 9 ducks with 6 ducklings each: 9 x 6 = 54 ducks and ducklings
Now, let's add up the total number of ducks and ducklings:
10 + 18 + 54 = 82
So, there are 82 ducks and ducklings in total.
####82</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</si>
  <si>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</si>
  <si>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</si>
  <si>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To find out how many hours Billy spends reading, we need to find out how many hours he spends playing video games and then subtract that from the total hours.
First, we need to find out how many hours Billy spends playing video games. Since he has 8 hours of free time and wants to spend 75% of that time playing video games, we can calculate the hours spent playing video games as follows:
8 hours * 0.75 = 6 hours
So, Billy spends 6 hours playing video games.
Now, we can find out how many hours he spends reading by subtracting the hours spent playing video games from the total hours:
8 hours - 6 hours = 2 hours
Since Billy can read 60 pages an hour, we can find out how many pages he reads in 2 hours by multiplying the number of hours by the number of pages he can read per hour:
2 hours * 60 pages/hour = 120 pages
Since each book contains 80 pages, we can find out how many books Billy reads by dividing the total number of pages by the number of pages per book:
120 pages / 80 pages/book = 1.5 books
Since Billy can't read a fraction of a book, we can round down to the nearest whole number. However, in this case, we are asked to find out how many books Billy reads, not how many whole books he reads. Therefore, the answer is 1.5 books.
####1.5</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</si>
  <si>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</si>
  <si>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</si>
  <si>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Step 1: First, let's determine the initial number of diaries Natalie's sister had. The initial number of diaries is given as 8.
Step 2: Next, we need to calculate the number of diaries she bought last summer. She bought double the number of diaries she had, so she bought 2 * 8 = 16 diaries.
Step 3: Now, we need to calculate the total number of diaries she had after buying more. The total number of diaries is the sum of the initial number of diaries and the number of diaries she bought, which is 8 + 16 = 24.
Step 4: Then, we need to calculate the number of diaries she lost. She lost 1/4 of what she had, which is 1/4 * 24 = 6 diaries.
Step 5: Finally, we need to calculate the number of diaries she has now. The number of diaries she has now is the total number of diaries minus the number of diaries she lost, which is 24 - 6 = 18.
The final answer is: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</si>
  <si>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</si>
  <si>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</si>
  <si>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Let's break down the information given:
1. Rona is 8 years old.
2. Rachel is twice as old as Rona, so Rachel's age = 2 x Rona's age = 2 x 8 = 16 years old.
3. Collete's age is half the age of Rona's, so Collete's age = Rona's age / 2 = 8 / 2 = 4 years old.
Now, let's find the difference between Collete's and Rachel's age:
Difference = Rachel's age - Collete's age = 16 - 4 = 12 years.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</si>
  <si>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</si>
  <si>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</si>
  <si>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To find the total airflow created in one week, we need to calculate the airflow created in one day and then multiply it by 7.
Airflow created in one day = Airflow per second * Number of seconds in 10 minutes
= 10 liters/second * 600 seconds
= 6000 liters
Airflow created in one week = Airflow created in one day * 7
= 6000 liters * 7
= 42000 liters
####42000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</si>
  <si>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</si>
  <si>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</si>
  <si>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To find the number of supplies left, we need to calculate the total number of supplies Kelly had initially, then subtract the number of supplies she dropped down the storm drain, and finally add the number of supplies she bought later.
Initially, Kelly had:
- 8 students * 3 pieces of construction paper = 24 pieces of construction paper
- 6 bottles of glue
Total initial supplies = 24 + 6 = 30
Kelly dropped half of the supplies down the storm drain:
- Half of 30 = 30 / 2 = 15
Supplies left after dropping some down the storm drain = 30 - 15 = 15
Kelly then bought 5 more pieces of construction paper:
- 15 (initial supplies left) + 5 = 20
So, the number of supplies left is 20.
####20</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</si>
  <si>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</si>
  <si>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</si>
  <si>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Step 1: First, let's calculate the total number of eggs Tricia ordered. Since a dozen is equal to 12, three dozen eggs is 3 * 12 = 36 eggs.
Step 2: Next, let's calculate the number of eggs Tricia will use for making crepes. She will use 1/4 of the total number of eggs, which is 1/4 * 36 = 9 eggs.
Step 3: Now, let's calculate the number of eggs remaining after using some for crepes. The number of eggs remaining is 36 - 9 = 27 eggs.
Step 4: Next, let's calculate the number of eggs Tricia will use for making cupcakes. She will use 2/3 of the remaining eggs, which is 2/3 * 27 = 18 eggs.
Step 5: Now, let's calculate the number of eggs remaining after using some for cupcakes. The number of eggs remaining is 27 - 18 = 9 eggs.
Step 6: Therefore, the number of eggs left to make sunny-side-up eggs for breakfast is 9.
The final answer is: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</si>
  <si>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</si>
  <si>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</si>
  <si>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Let's break down the problem step by step:
1. If a candle lasts 8 nights when burned for 1 hour per night, then the total number of hours it lasts is 8 x 1 = 8 hours.
2. If Carmen burns the candle for 2 hours per night, then the candle will last for 8 / 2 = 4 nights.
3. Since she burns the candle for 2 hours per night, she will use 2 candles per night.
4. Over 24 nights, she will use 24 / 4 = 6 candles.
Therefore, Carmen will use 6 candles over 24 nights.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</si>
  <si>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</si>
  <si>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</si>
  <si>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Let's count the wheels for each type of vehicle:
Bicycles: 20 bicycles x 2 wheels per bicycle = 40 wheels
Cars: 10 cars x 4 wheels per car = 40 wheels
Motorcycles: 5 motorcycles x 2 wheels per motorcycle = 10 wheels
Total number of wheels = 40 + 40 + 10 = 90
####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</si>
  <si>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</si>
  <si>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</si>
  <si>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Let's break down the problem step by step:
1. Troy has initially saved $50.
2. He plans to sell his old computer for $20.
3. The new computer costs $80.
4. To find out how much more money Troy needs, we need to subtract the amount he has and the amount he will get from selling his old computer from the cost of the new computer.
First, let's add the amount Troy has and the amount he will get from selling his old computer:
$50 (initial savings) + $20 (selling old computer) = $70
Now, let's subtract this amount from the cost of the new computer:
$80 (cost of new computer) - $70 (total amount Troy has) = $10
Therefore, Troy needs $10 more to buy the new computer.
####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</si>
  <si>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</si>
  <si>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</si>
  <si>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To find the total number of keys needed, we need to find the total number of locks needed and then multiply that by 3.
Each apartment complex has 12 apartments, and there are 2 apartment complexes. So, the total number of apartments is 12 x 2 = 24.
Since each apartment has a lock, the total number of locks needed is 24.
To find the total number of keys needed, we multiply the total number of locks by 3:
24 locks x 3 keys/lock = 72 keys
So, Tim needs to make 72 keys.</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</si>
  <si>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</si>
  <si>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</si>
  <si>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</si>
  <si>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</si>
  <si>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Let's break down the problem step by step:
1. Oliver starts with $9.
2. He saves $5 from his allowance, so now he has: $9 + $5 = $14.
3. He spends $4 on a frisbee, so now he has: $14 - $4 = $10.
4. He spends $3 on a puzzle, so now he has: $10 - $3 = $7.
5. His friend gives him $8 as a birthday gift, so now he has: $7 + $8 = $15.
Therefore, Oliver has $15 left.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</si>
  <si>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</si>
  <si>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</si>
  <si>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To find the size of the 6th biggest doll, we need to find the size of each doll by multiplying the size of the previous doll by 2/3.
The size of the biggest doll is 243 cm.
The size of the 2nd biggest doll is 243 cm * 2/3 = 162 cm.
The size of the 3rd biggest doll is 162 cm * 2/3 = 108 cm.
The size of the 4th biggest doll is 108 cm * 2/3 = 72 cm.
The size of the 5th biggest doll is 72 cm * 2/3 = 48 cm.
The size of the 6th biggest doll is 48 cm * 2/3 = 32 cm.
Therefore, the size of the 6th biggest doll is 32 cm.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</si>
  <si>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</si>
  <si>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</si>
  <si>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Ocho has 8 friends and half are girls. His friends who are boys like to play theater with him. How many boys play theater with him?</t>
  </si>
  <si>
    <t>Half his friends are boys because 1 - 1/2 = 1/2
He plays with four boys because 8 x 1/2= &lt;&lt;8*1/2=4&gt;&gt;4
#### 4</t>
  </si>
  <si>
    <t>Let's break it down step by step:
1. Ocho has 8 friends in total.
2. Half of his friends are girls, so the number of girls is 8 / 2 = 4.
3. Since the number of girls is 4, the number of boys is 8 - 4 = 4.
4. All the boys like to play theater with Ocho, so the number of boys who play theater with him is also 4.
Therefore, 4 boys play theater with Ocho.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</si>
  <si>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</si>
  <si>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</si>
  <si>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To find out how long it took Amy to finish the race, we need to first determine how long it took Manu to finish the race.
We know that Manu took 12 more seconds than Patrick, and Patrick took 60 seconds. So, Manu took 60 + 12 = 72 seconds.
Since Amy is twice as fast as Manu, it means that Amy will take half the time it took Manu to finish the race. 
So, Amy took 72 / 2 = 36 seconds to finish the race.
Therefore, the answer is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</si>
  <si>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</si>
  <si>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</si>
  <si>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To find the total cost of both pairs of shoes, we need to calculate the cost of the second pair and add it to the cost of the first pair.
The second pair of shoes was 50% more expensive than the first pair, which cost $22. To find the cost of the second pair, we need to calculate 50% of $22 and add it to the original cost.
50% of $22 is 0.5 x $22 = $11.
The cost of the second pair is the original cost plus 50% of the original cost: $22 + $11 = $33.
To find the total cost of both pairs of shoes, we need to add the cost of the first pair to the cost of the second pair: $22 + $33 = $55.
Therefore, Nina paid $55 for both pairs of shoes.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</si>
  <si>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</si>
  <si>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</si>
  <si>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Let's break down the problem step by step:
1. Sharks are fed 4 buckets of fish each day.
2. Dolphins are fed half as many buckets as the sharks, so they are fed 4/2 = 2 buckets of fish each day.
3. Other sea animals are fed 5 times as many buckets as the sharks, so they are fed 4 × 5 = 20 buckets of fish each day.
4. Total buckets of fish fed each day = 4 (sharks) + 2 (dolphins) + 20 (other sea animals) = 26 buckets.
5. Total buckets of fish available = 546.
6. To find out how many days the fish will last, we divide the total buckets of fish available by the total buckets of fish fed each day: 546 ÷ 26 = 21 days.
7. Since we want to know how many weeks the fish will last, we divide the number of days by 7: 21 ÷ 7 = 3 weeks.
Therefore, the answer is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</si>
  <si>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</si>
  <si>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</si>
  <si>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To find the total cost, we need to calculate the cost of each item and then add them up.
1. Cost of sandwiches: 4 people (Theo, Tia, and 2 friends) x $5 per sandwich = $20
2. Cost of fruit salads: 4 people x $3 per fruit salad = $12
3. Cost of sodas: 4 people x 2 sodas per person x $2 per soda = $16
4. Cost of snack bags: 3 snack bags x $4 per snack bag = $12
Now, let's add up the costs:
$20 (sandwiches) + $12 (fruit salads) + $16 (sodas) + $12 (snack bags) = $60
Therefore, they spent $60 on the entire contents of their picnic basket.
####60</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</si>
  <si>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</si>
  <si>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</si>
  <si>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To find the total grams of protein Arnold will consume, we need to calculate the protein from each item and add them up.
1 scoop of collagen powder: 18 grams of protein
1 scoop of protein powder: 21 grams of protein
Steak: 56 grams of protein
First, let's find the protein from the collagen powder. We know that 2 scoops of collagen powder have 18 grams of protein. So, 1 scoop of collagen powder will have 18/2 = 9 grams of protein.
Now, let's add up the protein from each item:
9 grams (collagen powder) + 21 grams (protein powder) + 56 grams (steak) = 86 grams
Therefore, Arnold will consume 86 grams of protein.</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</si>
  <si>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</si>
  <si>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</si>
  <si>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Let's break down the problem step by step:
1. Nick's age: 13 years
2. Sister's age: 13 + 6 = 19 years
3. Combined age of Nick and sister: 13 + 19 = 32 years
4. Brother's age: 32 / 2 = 16 years
5. Brother's age in 5 years: 16 + 5 = 21 years
So, the brother would be 21 years old in 5 years.
####21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</si>
  <si>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</si>
  <si>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</si>
  <si>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To find the total amount of sleep Tim got, we need to calculate the sleep he got on the first 2 days and the sleep he got on the next 2 days.
On the first 2 days, Tim got 6 hours of sleep each day, so the total sleep for these 2 days is:
6 hours/day × 2 days = 12 hours
On the next 2 days, Tim got 10 hours of sleep each day, so the total sleep for these 2 days is:
10 hours/day × 2 days = 20 hours
To find the total amount of sleep Tim got, we add the sleep he got on the first 2 days and the sleep he got on the next 2 days:
12 hours + 20 hours = 32 hours
The final answer is: ####32</t>
  </si>
  <si>
    <t>Four kids can wash three whiteboards in 20 minutes. How long would it take, in minutes, for one kid to wash six whiteboards?</t>
  </si>
  <si>
    <t>One kid can wash three whiteboards in 20*4=&lt;&lt;20*4=80&gt;&gt;80 minutes.
One kid can wash six whiteboards in 80*(6/3)=160 minutes.
#### 160</t>
  </si>
  <si>
    <t>To solve this problem, we need to first find out how long it takes for one kid to wash three whiteboards. Since four kids can wash three whiteboards in 20 minutes, one kid would take four times as long, which is 4 x 20 = 80 minutes to wash three whiteboards.
Now, we need to find out how long it would take for one kid to wash six whiteboards. Since it takes 80 minutes to wash three whiteboards, it would take twice as long to wash six whiteboards, which is 2 x 80 = 160 minutes.
Therefore, it would take 160 minutes for one kid to wash six whiteboards.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</si>
  <si>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</si>
  <si>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</si>
  <si>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To find the new number of trees the Albaszu machine is cutting, we need to calculate 1.5 times the original number of trees.
Original number of trees = 10
Increase in productivity = 1.5
New number of trees = Original number of trees + (Increase in productivity × Original number of trees)
= 10 + (1.5 × 10)
= 10 + 15
= 25
So, the Albaszu machine is cutting 25 trees daily now.
#### 25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</si>
  <si>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</si>
  <si>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</si>
  <si>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To find out how many more onions Carl can chop in 30 minutes than Brittney, we need to first find out how many onions each of them can chop in 30 minutes.
Brittney can chop 15 onions in 5 minutes. So, in 30 minutes, she can chop 15 x 6 = 90 onions.
Carl can chop 20 onions in 5 minutes. So, in 30 minutes, he can chop 20 x 6 = 120 onions.
Now, we need to find out how many more onions Carl can chop in 30 minutes than Brittney. This is the difference between the number of onions Carl can chop and the number of onions Brittney can chop in 30 minutes.
So, Carl can chop 120 - 90 = 30 more onions in 30 minutes than Brittney.
The answer is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</si>
  <si>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</si>
  <si>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</si>
  <si>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To find out how much Martha will save, we need to calculate her total coffee spending for the year and then find 25% of that amount.
First, let's calculate her total coffee spending for the year:
1 latte per day for 5 days a week = 5 lattes per week
5 lattes per week * 52 weeks per year = 260 lattes per year
Cost of 1 latte = $4.00
Total cost of lattes per year = 260 lattes * $4.00 = $1040.00
Now, let's calculate her total iced coffee spending for the year:
3 iced coffees per week = 156 iced coffees per year (3 * 52)
Cost of 1 iced coffee = $2.00
Total cost of iced coffees per year = 156 iced coffees * $2.00 = $312.00
Total coffee spending per year = $1040.00 (lattes) + $312.00 (iced coffees) = $1352.00
To cut her coffee spending by 25%, we need to find 25% of $1352.00:
25% of $1352.00 = 0.25 * $1352.00 = $338.00
So, Martha will save $338.00 per year by cutting her coffee spending by 25%.
####338</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</si>
  <si>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</si>
  <si>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</si>
  <si>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Let's break it down step by step:
1. DeShawn made 12 free-throws.
2. Kayla made 50% more than DeShawn. To find 50% of 12, we multiply 12 by 0.5: 12 * 0.5 = 6. Then, we add 6 to 12 to find the total number of free-throws Kayla made: 12 + 6 = 18.
3. Annieka made 4 fewer than Kayla. To find the number of free-throws Annieka made, we subtract 4 from Kayla's total: 18 - 4 = 14.
So, Annieka made 14 free-throws.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</si>
  <si>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</si>
  <si>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</si>
  <si>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To find out how many seeds will be planted in the fourth pot, we need to first determine how many seeds can be planted in 4 pots.
Since 3 seeds can be planted in 1 pot, we can multiply 3 by 4 to find out how many seeds can be planted in 4 pots.
3 seeds/pot * 4 pots = 12 seeds
Now that we know 12 seeds can be planted in 4 pots, we need to find out how many seeds will be planted in the fourth pot. Since the question asks for the number of seeds in the fourth pot, we can assume that the first 3 pots are filled with 3 seeds each, and the fourth pot will have the remaining seeds.
12 seeds - 3 seeds (in the first 3 pots) = 9 seeds
So, 9 seeds will be planted in the fourth pot.
#### 9</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</si>
  <si>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</si>
  <si>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</si>
  <si>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To find Jenna's total profit or loss, we need to calculate her total revenue, total cost, and then subtract the total cost from the total revenue.
Total revenue = Number of widgets sold x Price per widget
= 5000 x $8
= $40,000
Total cost = Cost of widgets + Rent + Workers' wages + Taxes
= (5000 x $3) + $10,000 + (4 x $2,500) + Taxes
First, let's calculate the cost of widgets:
= 5000 x $3
= $15,000
Next, let's calculate the workers' wages:
= 4 x $2,500
= $10,000
Now, let's calculate the total cost:
= $15,000 + $10,000 + $10,000
= $35,000
To calculate the profit, we need to find the total profit before taxes:
= Total revenue - Total cost
= $40,000 - $35,000
= $5,000
Now, let's calculate the taxes:
= 20% of $5,000
= 0.20 x $5,000
= $1,000
Now, let's calculate the total cost including taxes:
= $35,000 + $1,000
= $36,000
Finally, let's calculate the total profit or loss:
= Total revenue - Total cost including taxes
= $40,000 - $36,000
= $4,000
So, Jenna's total profit is $4,000.
#### 4000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</si>
  <si>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</si>
  <si>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</si>
  <si>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To solve this problem, we need to follow the given information step by step.
Step 1: The team scored 62 points at their last home game.
Step 2: Their team scored twice as many points at their last home game than their first away game. This means they scored 62 / 2 = 31 points at their first away game.
Step 3: At the second away game, they scored eighteen points more than the previous away game. So, they scored 31 + 18 = 49 points at their second away game.
Step 4: At the third away game, they scored two more points than at their second. So, they scored 49 + 2 = 51 points at their third away game.
Step 5: To find the total points scored by the team so far, we add the points from all the games: 62 + 31 + 49 + 51 = 193 points.
Step 6: The team wants to bring their cumulative points up to four times the score from their last home game. Four times the score from their last home game is 62 * 4 = 248 points.
Step 7: To find out how many points they need to score in their next game, we subtract the total points they have so far from the target cumulative points: 248 - 193 = 55 points.
The final answer is: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</si>
  <si>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</si>
  <si>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</si>
  <si>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To find the new bill, we need to calculate the total cost of the replaced items and add it to the original order and delivery/tip.
The replaced items are:
- A $0.99 can of tomatoes replaced by a $2.20 can of tomatoes: $2.20 - $0.99 = $1.21
- A $1.00 lettuce replaced with a $1.75 head of lettuce: $1.75 - $1.00 = $0.75
- A $1.96 celery replaced with celery that cost $2.00: $2.00 - $1.96 = $0.04
The total cost of the replaced items is: $1.21 + $0.75 + $0.04 = $2.00
Now, we add the total cost of the replaced items to the original order and delivery/tip:
$25 (original order) + $2.00 (replaced items) + $8.00 (delivery/tip) = $35.00
The new bill is $35.00.</t>
  </si>
  <si>
    <t>James spends 40 years teaching.  His partner has been teaching for 10 years less.  How long is their combined experience?</t>
  </si>
  <si>
    <t>His partner has been teaching for 40-10=&lt;&lt;40-10=30&gt;&gt;30 years
So together they have 40+30=&lt;&lt;40+30=70&gt;&gt;70 years of experience
#### 70</t>
  </si>
  <si>
    <t>Let's break it down step by step:
1. James has been teaching for 40 years.
2. His partner has been teaching for 10 years less, which means his partner has been teaching for 40 - 10 = 30 years.
3. To find the combined experience, we add the number of years James has been teaching to the number of years his partner has been teaching: 40 + 30 = 70 years.
So, their combined experience is 70 years.
####70</t>
  </si>
  <si>
    <t>Randolph is 5 years older than Sydney. Sydney is twice as old as Sherry. If Sherry is 25, how old is Randolph?</t>
  </si>
  <si>
    <t>Sydney is 25*2 = &lt;&lt;25*2=50&gt;&gt;50 years old.
Randolph is 50+5 = &lt;&lt;50+5=55&gt;&gt;55 years old.
#### 55</t>
  </si>
  <si>
    <t>Let's break down the information given:
1. Randolph is 5 years older than Sydney.
2. Sydney is twice as old as Sherry.
3. Sherry is 25 years old.
From statement 2, we can find Sydney's age by multiplying Sherry's age by 2:
Sydney's age = 2 x Sherry's age
Sydney's age = 2 x 25
Sydney's age = 50
Now, we know that Randolph is 5 years older than Sydney. So, we add 5 to Sydney's age to find Randolph's age:
Randolph's age = Sydney's age + 5
Randolph's age = 50 + 5
Randolph's age = 55
Therefore, Randolph is 55 years old.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</si>
  <si>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</si>
  <si>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</si>
  <si>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To find the number of boxes needed, we need to divide the total number of brochures (5000) by the number of brochures that can fit in one box (1/5 of 5000).
First, let's find 1/5 of 5000:
1/5 × 5000 = 1000
Now, we need to divide the total number of brochures (5000) by 1000 to find the number of boxes needed:
5000 ÷ 1000 = 5
So, 5 boxes are needed to ship the brochures.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</si>
  <si>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</si>
  <si>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</si>
  <si>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To find the number of pencils Jeff donated, we need to calculate 30% of 300.
30% of 300 = 0.3 x 300 = 90
So, Jeff donated 90 pencils.
Jeff had 300 - 90 = 210 pencils remaining.
Vicki had twice as many pencils as Jeff, so Vicki had 2 x 300 = 600 pencils.
Vicki donated 3/4 of his pencils, which is 3/4 x 600 = 450 pencils.
Vicki had 600 - 450 = 150 pencils remaining.
To find the total number of pencils remaining, we add the number of pencils remaining for Jeff and Vicki:
210 + 150 = 360
Therefore, there are 360 pencils remaining altogether.
####360</t>
  </si>
  <si>
    <t>A train travels 360 miles in 3 hours. At the same rate, how many additional hours would it take to travel an additional 240 miles?</t>
  </si>
  <si>
    <t>The rate is 360/3=&lt;&lt;360/3=120&gt;&gt;120 mph.
Then it would take 240/120=&lt;&lt;240/120=2&gt;&gt;2 additional hours.
#### 2</t>
  </si>
  <si>
    <t>To find the rate of the train, we can divide the distance traveled by the time taken:
Rate = Distance / Time
= 360 miles / 3 hours
= 120 miles per hour
Now, we can use the rate to find the time it would take to travel an additional 240 miles:
Time = Distance / Rate
= 240 miles / 120 miles per hour
= 2 hours
Therefore, it would take the train 2 additional hours to travel an additional 240 miles.
####2</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</si>
  <si>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</si>
  <si>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</si>
  <si>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Let's break down the problem step by step:
1. Amy biked 12 miles yesterday.
2. Today, she biked 3 miles less than twice as far as yesterday. Let's calculate twice as far as yesterday:
Twice as far as yesterday = 2 × 12 = 24 miles
3. She biked 3 miles less than twice as far as yesterday, so she biked 24 - 3 = 21 miles today.
4. To find the total miles she biked in the two days, we add the miles from yesterday and today:
Total miles = 12 miles (yesterday) + 21 miles (today) = 33 miles
So, Amy biked a total of 33 miles in the two days.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</si>
  <si>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</si>
  <si>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</si>
  <si>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To find the total number of fruits remaining on the tomato plant, we need to calculate the number of tomatoes picked each week and subtract that from the initial number of tomatoes.
Initially, Jane picks 1/4 of 100 tomatoes, which is 25 tomatoes. So, the number of tomatoes remaining after the first week is:
100 - 25 = 75
The next week, Jane picks 20 more tomatoes, so the number of tomatoes remaining after the second week is:
75 - 20 = 55
The following week, Jane picks twice the number of tomatoes she picked the previous week, which is 2 x 20 = 40. So, the number of tomatoes remaining after the third week is:
55 - 40 = 15
Therefore, the total number of fruits remaining on the tomato plant is 15.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</si>
  <si>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</si>
  <si>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</si>
  <si>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To find the total number of yellow picks, we first need to find the total number of picks. We know that one-third of the picks are blue and that number is 12. 
So, 1/3 of the total number of picks = 12
Total number of picks = 12 * 3 = 36
Now, we know that half of the picks are red. So, the number of red picks = 36 / 2 = 18
The rest of the picks are yellow. So, the number of yellow picks = Total number of picks - Number of red picks - Number of blue picks
= 36 - 18 - 12
= 6
Therefore, the total number of yellow picks in his collection is 6.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</si>
  <si>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</si>
  <si>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</si>
  <si>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Let's break down the problem step by step:
Let V be the number of vampires and W be the number of werewolves.
Since there were 4 times as many werewolves as vampires, we can write:
W = 4V
Van Helsing removes half the vampires, so he removes V/2 vampires.
He also removes 8 werewolves.
The total amount he earns is $105, which is the sum of the money he earns from vampires and werewolves:
5(V/2) + 10(8) = 105
Simplifying the equation:
2.5V + 80 = 105
Subtract 80 from both sides:
2.5V = 25
Divide both sides by 2.5:
V = 10
Now that we know the number of vampires, we can find the number of werewolves:
W = 4V
= 4(10)
= 40
Van Helsing removed 8 werewolves, which is 8/40 = 0.2 or 20% of the total number of werewolves.
The final answer is: ####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</si>
  <si>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</si>
  <si>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</si>
  <si>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To find the percent of vinegar left after 2 years, we need to calculate the remaining amount after each year.
Year 1:
Initial amount = 100% (assuming 100% vinegar at the start)
Amount left after 1 year = 100% - 20% = 80%
Year 2:
Amount left after 1 year = 80%
Amount left after 2 years = 80% - 20% (20% of 80% evaporates) = 64%
So, the percent of vinegar left after 2 years is 64%.
####64%</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</si>
  <si>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</si>
  <si>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</si>
  <si>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To find out how many stairs Veronica climbed, we need to calculate half of the stairs Samir climbed, and then add 18 to that amount.
Half of the stairs Samir climbed is 318 / 2 = 159.
Veronica climbed 159 + 18 = 177 stairs.
To find out how many stairs Samir and Veronica climbed together, we add the stairs they each climbed: 318 + 177 = 495.
The final answer is: ####495</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</si>
  <si>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</si>
  <si>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</si>
  <si>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Let's break down the costs:
Original cost:
Evening ticket: $10
Large popcorn &amp; drink combo: $10
Total cost: $20
Now, let's calculate the cost with the special offer:
Discount on ticket: 20% of $10 = $2
Discount on combo: 50% of $10 = $5
Total discount: $2 + $5 = $7
New cost:
Ticket: $10 - $2 = $8
Combo: $10 - $5 = $5
Total cost: $8 + $5 = $13
To find the amount of money Trip can save, we subtract the new cost from the original cost:
$20 - $13 = $7
So, Trip can save $7 by going to the earlier movie.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</si>
  <si>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</si>
  <si>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</si>
  <si>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To find the number of goldfish that need special food, we need to calculate 20% of 50.
20% of 50 = 0.2 x 50 = 10
So, 10 goldfish need special food.
Each of these goldfish eats 1.5 ounces of food per day, and the special food costs $3 an ounce. 
The total amount of special food needed per day is 10 x 1.5 = 15 ounces.
The cost of the special food is 15 x $3 = $45.
The final answer is: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</si>
  <si>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</si>
  <si>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</si>
  <si>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To find out how much money the bakery would make, we need to calculate the total revenue from selling the pies and subtract the cost of making them.
First, let's calculate the total revenue:
Each pie has 3 pieces, and each piece costs $4. So, the total revenue from one pie is:
3 pieces * $4/piece = $12/pie
Since the bakery can make 12 pies in one hour, the total revenue from all pies is:
12 pies * $12/pie = $144
Now, let's calculate the cost of making 12 pies:
Cost of making one pie: $0.5
Cost of making 12 pies: 12 pies * $0.5/pie = $6
Now, let's subtract the cost of making the pies from the total revenue:
Total revenue: $144
Cost of making pies: $6
Profit: $144 - $6 = $138
So, the bakery would make $138 in one hour.
####138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</si>
  <si>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</si>
  <si>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</si>
  <si>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To find the total amount of fabric delivered from Monday to Wednesday, we need to calculate the amount delivered each day and then add them up.
On Monday, Daniel delivers 20 yards of fabric.
On Tuesday, he delivers twice the amount of fabric he delivers on Monday, which is 2 * 20 = 40 yards.
On Wednesday, he delivers 1/4 of the amount of fabric he delivers on Tuesday, which is 1/4 * 40 = 10 yards.
So, the total amount of fabric delivered from Monday to Wednesday is 20 + 40 + 10 = 70 yards.
Since each yard of fabric costs $2, the total cost of the fabric delivered is 70 * $2 = $140.
Daniel also earns money from delivering yarn, but the problem doesn't mention the amount of yarn delivered. Therefore, we can't calculate the total earnings from Monday to Wednesday.
However, we can calculate the total earnings from the fabric delivered:
Total earnings = Total cost of fabric * Number of yards of fabric
= $140 * 70
= $9800
Since the problem asks for the total earnings from Monday to Wednesday, we can assume that the earnings from the fabric delivered is the total earnings.
####9800</t>
  </si>
  <si>
    <t>Alice and Emily are selling oranges at the farmer's market. Alice sold twice as many oranges as Emily did. In total, they sold 180 oranges. How many oranges did Alice sell?</t>
  </si>
  <si>
    <t>Emily sold 180/3=&lt;&lt;180/3=60&gt;&gt;60 oranges.
Alice sold 60*2=&lt;&lt;60*2=120&gt;&gt;120 oranges.
#### 120</t>
  </si>
  <si>
    <t>Let's say Emily sold x oranges. Since Alice sold twice as many oranges as Emily, Alice sold 2x oranges.
We know that the total number of oranges they sold is 180, so we can set up the equation:
x + 2x = 180
Combine like terms:
3x = 180
Divide both sides by 3:
x = 60
So Emily sold 60 oranges. Since Alice sold twice as many oranges as Emily, Alice sold 2x = 2(60) = 120 oranges.
#### 120</t>
  </si>
  <si>
    <t>A pool has 48 blue tiles and 32 red tiles. If the pool needs 100 tiles to be completed, how many more tiles are needed?</t>
  </si>
  <si>
    <t>The pool currently has 48+32 = &lt;&lt;48+32=80&gt;&gt;80 tiles.
The pool needs 100-80 = &lt;&lt;100-80=20&gt;&gt;20 more tiles to be completed.
#### 20</t>
  </si>
  <si>
    <t>To find out how many more tiles are needed, we need to subtract the total number of tiles already present (48 blue + 32 red) from the total number of tiles needed (100).
First, let's add the number of blue and red tiles:
48 (blue) + 32 (red) = 80
Now, let's subtract the total number of tiles already present from the total number of tiles needed:
100 (total needed) - 80 (already present) = 20
So, 20 more tiles are needed to complete the pool.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</si>
  <si>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</si>
  <si>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</si>
  <si>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Let's break down the information:
1. Annie has three times more toys than Mike.
Since Mike has 6 toys, Annie has 3 × 6 = 18 toys.
2. Annie has two less toys than Tom.
So, Tom has 18 + 2 = 20 toys.
Now, let's find the total number of toys:
Mike has 6 toys.
Annie has 18 toys.
Tom has 20 toys.
Total number of toys = 6 + 18 + 20 = 44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</si>
  <si>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</si>
  <si>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</si>
  <si>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Let's break down the problem step by step:
1. Aaron already has 14 can lids.
2. He adds the lids he gets from the 3 boxes of canned tomatoes to the 14 lids he already has, so the total number of lids he has now is 53.
3. To find out how many lids he got from the 3 boxes, we need to subtract the number of lids he already had (14) from the total number of lids he has now (53).
Let's call the number of lids he got from each box "x". Since he got the same number of lids from each box, the total number of lids he got from the 3 boxes is 3x.
We can set up an equation to represent the situation:
14 + 3x = 53
To solve for x, we need to isolate x. We can do this by subtracting 14 from both sides of the equation:
3x = 53 - 14
3x = 39
Next, we can divide both sides of the equation by 3 to solve for x:
x = 39 ÷ 3
x = 13
So, Aaron got 13 can lids from each box.</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</si>
  <si>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</si>
  <si>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</si>
  <si>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To find the number of spoons Chenny bought, we need to first find the total amount she spent on plates, and then subtract that from the total amount she paid.
The total amount she spent on plates is 9 plates x $2 each = $18.
The total amount she paid for both plates and spoons is $24.
So, the amount she spent on spoons is $24 - $18 = $6.
Since each spoon costs $1.50, the number of spoons she bought is $6 / $1.50 = 4.
The final answer is: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</si>
  <si>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</si>
  <si>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</si>
  <si>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Let's break down the problem step by step:
1. Let the number of spaces in section 3 be x.
2. Since there are 200 more spaces in section 2 than in section 3, the number of spaces in section 2 is x + 200.
3. The total number of spaces in the parking lot is 1000, which is the sum of the spaces in sections 1, 2, and 3.
4. We know that there are 320 spaces in section 1.
5. So, the total number of spaces in sections 2 and 3 is 1000 - 320 = 680.
6. Since the number of spaces in section 2 is x + 200, and the number of spaces in section 3 is x, we can set up the equation: x + (x + 200) = 680.
7. Combining like terms, we get 2x + 200 = 680.
8. Subtracting 200 from both sides, we get 2x = 480.
9. Dividing both sides by 2, we get x = 240.
10. Now that we know the number of spaces in section 3 is 240, we can find the number of spaces in section 2 by adding 200 to 240: 240 + 200 = 440.
Therefore, there are 440 spaces made available in section 2 of the parking lot.
####440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</si>
  <si>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</si>
  <si>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</si>
  <si>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</si>
  <si>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</si>
  <si>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To find the number of married women, we multiply the total number of women by 3/4.
Number of married women = 60 * (3/4) = 45
Since 3/4 of the men were single, 1/4 of the men were married. Let's assume the number of men is x. Then, the number of married men is 1/4 of x.
Number of married men = 1/4 * x
We know that the number of married men is equal to the number of married women, which is 45.
Equating the two expressions, we get:
1/4 * x = 45
Multiplying both sides by 4, we get:
x = 180
So, the total number of men is 180.
Since 3/4 of the men were single, the number of single men is 3/4 of 180.
Number of single men = 180 * (3/4) = 135
The total number of people at the party is the sum of the number of women and the number of men.
Total number of people = 60 + 180 = 240
Therefore, the total number of people who attended the party is 240.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</si>
  <si>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</si>
  <si>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</si>
  <si>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Let's break down the problem step by step:
1. One third of Rob's cards are doubles, so we need to find one third of 24:
24 ÷ 3 = 8
So, Rob has 8 doubles.
2. Jess has 5 times as many doubles as Rob, so we need to multiply the number of doubles Rob has by 5:
8 × 5 = 40
Therefore, Jess has 40 doubles.
The final answer is: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</si>
  <si>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</si>
  <si>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</si>
  <si>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Let's break this problem down step by step.
We know that John travels 1 foot vertically for every 2 feet horizontally. This means that for every 1 foot of vertical distance, he covers 2 feet of horizontal distance.
Let's call the horizontal distance he covers "x" feet. Since he travels 1 foot vertically for every 2 feet horizontally, the vertical distance he covers is half of the horizontal distance, which is x/2 feet.
We know that his elevation increases from 100 feet to 1450 feet. This means that the vertical distance he covers is 1450 - 100 = 1350 feet.
Since the vertical distance he covers is x/2 feet, we can set up the equation:
x/2 = 1350
To solve for x, we can multiply both sides by 2:
x = 2 × 1350
x = 2700
So, John moves 2700 feet horizontally.
####2700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</si>
  <si>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</si>
  <si>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</si>
  <si>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Let's break down the problem step by step:
1. The cost of building a certain house in an area is 100,000 more than the construction cost of each of the other houses. Let's call the construction cost of each of the other houses "x". Then, the cost of building the certain house is x + 100,000.
2. The other houses sell for $320,000 each.
3. The certain house sells for 1.5 times as much as the other houses, so its selling price is 1.5 × $320,000 = $480,000.
4. The profit made by selling each of the other houses is the selling price minus the construction cost, which is $320,000 - x.
5. The profit made by selling the certain house is its selling price minus its construction cost, which is $480,000 - (x + 100,000).
6. The difference in profit between the certain house and the other houses is the profit made by the certain house minus the profit made by each of the other houses. This is ($480,000 - (x + 100,000)) - ($320,000 - x).
7. Simplifying the expression, we get: $480,000 - x - 100,000 - $320,000 + x = $160,000.
8. So, the profit made by spending the extra money to build the certain house is $160,000.
The final answer is: ####160,000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</si>
  <si>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</si>
  <si>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</si>
  <si>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To find the number of adults in Bob's family, we need to follow these steps:
1. Calculate the total number of apples eaten by the children:
   33 children * 10 apples/child = 330 apples
2. Subtract the apples eaten by the children from the total number of apples:
   450 apples - 330 apples = 120 apples
3. Since each adult ate 3 apples, divide the remaining apples by 3 to find the number of adults:
   120 apples / 3 apples/adult = 40 adults
Therefore, there are 40 adults in Bob's family.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</si>
  <si>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</si>
  <si>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</si>
  <si>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To find the number of English-language books published outside the country, we need to first find the total number of English-language books and then subtract the number of English-language books published in the country.
Step 1: Find the total number of English-language books.
Total number of books = 2300
Percentage of English-language books = 80%
Number of English-language books = Total number of books * Percentage of English-language books
= 2300 * 0.8
= 1840
Step 2: Find the number of English-language books published in the country.
Percentage of English-language books published in the country = 60%
Number of English-language books published in the country = Number of English-language books * Percentage of English-language books published in the country
= 1840 * 0.6
= 1104
Step 3: Find the number of English-language books published outside the country.
Number of English-language books published outside the country = Number of English-language books - Number of English-language books published in the country
= 1840 - 1104
= 736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</si>
  <si>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</si>
  <si>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</si>
  <si>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To find out how much James was out of pocket, we need to calculate the amount he paid for the new car and the amount he received for the old car.
The amount he received for the old car is 80% of $20,000, which is:
$20,000 x 0.8 = $16,000
The amount he paid for the new car is 90% of $30,000, which is:
$30,000 x 0.9 = $27,000
To find out how much he was out of pocket, we need to subtract the amount he received for the old car from the amount he paid for the new car:
$27,000 - $16,000 = $11,000
So, James was out of pocket $11,000.
####11000</t>
  </si>
  <si>
    <t>John was 66 inches tall.  He had a growth spurt and grew 2 inches per month for 3 months.  How tall is he in feet?</t>
  </si>
  <si>
    <t>He gained 2*3=&lt;&lt;2*3=6&gt;&gt;6 inches
So his height is 66+6=&lt;&lt;66+6=72&gt;&gt;72 inches
So he is 72/12=&lt;&lt;72/12=6&gt;&gt;6 feet tall
#### 6</t>
  </si>
  <si>
    <t>To find John's new height in feet, we need to first find his new height in inches.
John's original height was 66 inches. He grew 2 inches per month for 3 months, so we need to add 2 x 3 = 6 inches to his original height.
New height in inches = 66 + 6 = 72 inches
To convert inches to feet, we need to divide by 12 (since 1 foot = 12 inches).
New height in feet = 72 / 12 = 6 feet
So, John is now 6 feet tall.</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</si>
  <si>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</si>
  <si>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</si>
  <si>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The ants remove 4 ounces of sugar every hour. After 3 hours, they will have removed 4 x 3 = 12 ounces of sugar.
The bag of sugar held 24 ounces initially, and 12 ounces have been removed, so there are 24 - 12 = 12 ounces of sugar remaining.
Since the ants remove 4 ounces of sugar every hour, they will need 12 / 4 = 3 more hours to harvest the remaining sugar.
The final answer is: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</si>
  <si>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</si>
  <si>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</si>
  <si>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Let's break down the problem step by step:
1. Justin has already read 10 pages on the first day.
2. He needs to read at least 100 pages in total for the week.
3. He will read twice the amount of pages as the first day each day in the remaining 6 days.
Let's calculate the number of pages he will read each day for the remaining 6 days:
Day 2: 2 x 10 = 20 pages
Day 3: 2 x 20 = 40 pages
Day 4: 2 x 40 = 80 pages
Day 5: 2 x 80 = 160 pages
Day 6: 2 x 160 = 320 pages
Day 7: 2 x 320 = 640 pages
Now, let's add up the number of pages he will read each day, including the first day:
10 + 20 + 40 + 80 + 160 + 320 + 640 = 1170 pages
So, after the week is over, Justin will have read a total of 1170 pages.
####1170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</si>
  <si>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</si>
  <si>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</si>
  <si>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Let's break down the problem step by step:
Let M be Michael's current age.
Since Michael's younger brother is 5 years old, which is a third of the age of the older brother, we can set up the equation:
5 = (1/3) × Older brother's age
To find the older brother's age, we can multiply both sides by 3:
Older brother's age = 5 × 3 = 15
Now, we are told that Michael's oldest brother is 1 year older than twice Michael's age when Michael was a year younger. This means that the oldest brother's age is 1 more than 2 times Michael's current age minus 1.
Let's write this as an equation:
Oldest brother's age = 2(M - 1) + 1
We know the oldest brother's age is 15, so we can set up the equation:
15 = 2(M - 1) + 1
Simplifying the equation:
15 = 2M - 2 + 1
15 = 2M - 1
Adding 1 to both sides:
16 = 2M
Dividing both sides by 2:
M = 8
Now that we know Michael's age, we can find the combined age of all three brothers:
Combined age = Michael's age + Older brother's age + Younger brother's age
= 8 + 15 + 5
= 28
The final answer is: ####28</t>
  </si>
  <si>
    <t>There are 6 dogs and 2 ducks in the garden. How many feet are there in the garden?</t>
  </si>
  <si>
    <t>6 dogs have 6 x 4 = &lt;&lt;6*4=24&gt;&gt;24 feet.
2 ducks have 2 x 2 = &lt;&lt;2*2=4&gt;&gt;4 feet
In total there are 24 + 4 = &lt;&lt;24+4=28&gt;&gt;28 feet in the garden
#### 28</t>
  </si>
  <si>
    <t>To find the total number of feet in the garden, we need to count the number of feet for each animal and add them up.
Dogs have 4 feet each, and there are 6 dogs, so the total number of feet for dogs is:
6 dogs x 4 feet/dog = 24 feet
Ducks have 2 feet each, and there are 2 ducks, so the total number of feet for ducks is:
2 ducks x 2 feet/duck = 4 feet
Now, let's add the total number of feet for dogs and ducks:
24 feet (dogs) + 4 feet (ducks) = 28 feet
Therefore, there are 28 feet in the garden.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</si>
  <si>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</si>
  <si>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</si>
  <si>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To find out how many weeks it will take Matt and Blake to watch the whole series, we need to divide the total number of episodes by the number of episodes they watch per week.
They watch 1 episode every Monday and 2 episodes every Wednesday, so they watch a total of 1 + 2 = 3 episodes per week.
Now, we divide the total number of episodes (201) by the number of episodes they watch per week (3):
201 episodes / 3 episodes per week = 67 weeks
So, it will take Matt and Blake 67 weeks to watch the whole series.
####67</t>
  </si>
  <si>
    <t>A luxury bag costs $3000. A reseller wants to get a 15% profit. How much should she sell the bag?</t>
  </si>
  <si>
    <t>The reseller wants to get $3000 x 15/100 = $&lt;&lt;3000*15/100=450&gt;&gt;450 profit.
Thus, she needs to sell it for $3000 + $450 = $&lt;&lt;3000+450=3450&gt;&gt;3450.
#### 3450</t>
  </si>
  <si>
    <t>To find the selling price, we need to calculate the profit amount first.
Profit = 15% of the cost price
= 0.15 x $3000
= $450
Now, we add the profit to the cost price to get the selling price.
Selling price = Cost price + Profit
= $3000 + $450
= $3450
Therefore, the reseller should sell the bag for $3450.
####3450</t>
  </si>
  <si>
    <t>John plants a plot of 3 trees by 4 trees.  Each tree gives 5 apples.  He sells each apple for $.5.  How much money does he make, in dollars?</t>
  </si>
  <si>
    <t>He has 3*4=&lt;&lt;3*4=12&gt;&gt;12 trees
So he has 12*5=&lt;&lt;12*5=60&gt;&gt;60 apples
So he sells the apples for 60*.5=$&lt;&lt;60*.5=30&gt;&gt;30
#### 30</t>
  </si>
  <si>
    <t>To find out how much money John makes, we need to calculate the total number of apples he gets and then multiply it by the price of each apple.
First, let's find the total number of trees: 3 trees by 4 trees = 12 trees.
Since each tree gives 5 apples, the total number of apples is:
12 trees * 5 apples/tree = 60 apples
Now, let's calculate the total amount of money John makes:
60 apples * $0.5/apple = $30
So, John makes $30.
####30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</si>
  <si>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</si>
  <si>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</si>
  <si>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Let's break down the problem step by step:
1. 1000 leaves weigh 1 pound.
2. Bill's roof can bear 500 pounds of weight.
3. To find out how many pounds of leaves his roof can bear, we need to divide 500 pounds by 1000 leaves/pound, which is equivalent to 0.5 pounds per leaf.
4. Since his roof can bear 500 pounds, we can divide 500 pounds by 0.5 pounds/leaf to find out how many leaves his roof can bear: 500 pounds / 0.5 pounds/leaf = 1000 leaves.
5. Since 100 leaves fall on his roof every day, we can divide the total number of leaves his roof can bear (1000 leaves) by the number of leaves that fall every day (100 leaves) to find out how many days it will take for his roof to collapse: 1000 leaves / 100 leaves/day = 10 days.
Therefore, it will take 10 days for Bill's roof to collapse.
####10</t>
  </si>
  <si>
    <t>A sack of rice, which is 50 kilograms,  costs $50. If David sells it for $1.20 per kilogram, how much will be his profit?</t>
  </si>
  <si>
    <t>David's revenue for the 50 kilograms of rice is $1.20 x 50 = $&lt;&lt;1.20*50=60&gt;&gt;60.
So, his profit is $60 - $50 = $&lt;&lt;60-50=10&gt;&gt;10.
#### 10</t>
  </si>
  <si>
    <t>To find David's profit, we need to first find the selling price of the sack of rice and then subtract the cost price from it.
Cost price = $50
Weight of the sack of rice = 50 kilograms
Selling price per kilogram = $1.20
Selling price of the sack of rice = Weight of the sack of rice * Selling price per kilogram
= 50 * $1.20
= $60
Profit = Selling price - Cost price
= $60 - $50
= $10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</si>
  <si>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</si>
  <si>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</si>
  <si>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To find the total number of sweaters Kim knit that week, we need to calculate the number of sweaters she knit each day and then add them up.
On Monday, Kim knit 8 sweaters.
On Tuesday, she knit 2 more sweaters than on Monday, so she knit 8 + 2 = 10 sweaters.
On Wednesday and Thursday, she knit 4 fewer sweaters than on Tuesday, so she knit 10 - 4 = 6 sweaters on each of these days.
On Friday, she knit half the number of sweaters she had knit on Monday, so she knit 8 / 2 = 4 sweaters.
Now, let's add up the number of sweaters she knit each day:
Monday: 8 sweaters
Tuesday: 10 sweaters
Wednesday: 6 sweaters
Thursday: 6 sweaters
Friday: 4 sweaters
Total number of sweaters = 8 + 10 + 6 + 6 + 4 = 34
The final answer is: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</si>
  <si>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</si>
  <si>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</si>
  <si>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Let's break down the problem step by step:
1. When Derek was 6 years old, he had 3 times as many dogs as cars. Let's denote the number of cars he had at that time as x. Then, the number of dogs he had was 3x.
We are given that he had 90 dogs when he was 6 years old. So, we can set up the equation:
3x = 90
Solving for x, we get:
x = 30
So, when Derek was 6 years old, he had 30 cars.
2. Ten years later, after selling some of his dogs and buying 210 more cars, the number of cars became twice the number of dogs. Let's denote the number of dogs he had at that time as y. Then, the number of cars he had was 2y.
We are given that he had 90 dogs when he was 6 years old, and he sold some dogs, so the number of dogs he had ten years later is less than 90. Let's denote the number of dogs he sold as z. Then, the number of dogs he had ten years later is 90 - z.
We are also given that he bought 210 more cars, so the number of cars he had ten years later is 30 + 210 = 240.
We can set up the equation:
2y = 240
Solving for y, we get:
y = 120
So, the number of dogs Derek had ten years later is 120.
3. We are asked to find the number of dogs Derek has now, which is the same as the number of dogs he had ten years later.
Therefore, Derek has 120 dogs now.
The final answer is: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</si>
  <si>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</si>
  <si>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</si>
  <si>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Let's break it down step by step:
1. First, let's calculate the number of days in 6 weeks:
6 weeks x 7 days/week = 42 days
2. Now, let's calculate the number of pages Janet reads in 6 weeks:
Janet reads 80 pages/day x 42 days = 3360 pages
3. Next, let's calculate the number of pages Belinda reads in 6 weeks:
Belinda reads 30 pages/day x 42 days = 1260 pages
4. Now, let's find the difference between the number of pages Janet reads and the number of pages Belinda reads:
3360 pages (Janet) - 1260 pages (Belinda) = 2100 pages
Therefore, Janet reads 2100 more pages in 6 weeks.
####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</si>
  <si>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</si>
  <si>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</si>
  <si>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To find the total cost, we need to first find the cost of 4 spiral notebooks and 8 personal planners without the discount.
Cost of 4 spiral notebooks: 4 x $15 = $60
Cost of 8 personal planners: 8 x $10 = $80
Total cost without discount: $60 + $80 = $140
Now, we need to find the discount amount. The discount is 20% of the total cost without discount.
Discount amount: 20% of $140 = 0.2 x $140 = $28
Now, we subtract the discount amount from the total cost without discount to find the final cost.
Final cost: $140 - $28 = $112
The final answer is: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</si>
  <si>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</si>
  <si>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</si>
  <si>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</si>
  <si>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</si>
  <si>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To find the number of tickets left unsold, we need to follow the steps below:
Step 1: Calculate the total number of tickets ordered by the school organizers.
The total number of tickets ordered is 30 rolls * 100 tickets per roll = 3000 tickets.
Step 2: Calculate the number of tickets bought by the 4th graders.
The 4th graders bought 30% of the tickets, which is 0.3 * 3000 = 900 tickets.
Step 3: Calculate the number of tickets remaining after the 4th graders bought their tickets.
The number of tickets remaining is 3000 - 900 = 2100 tickets.
Step 4: Calculate the number of tickets bought by the 5th graders.
The 5th graders bought 50% of the remaining tickets, which is 0.5 * 2100 = 1050 tickets.
Step 5: Calculate the number of tickets remaining after the 5th graders bought their tickets.
The number of tickets remaining is 2100 - 1050 = 1050 tickets.
Step 6: Calculate the number of tickets left unsold.
The 6th graders bought a total of 100 tickets, so the number of tickets left unsold is 1050 - 100 = 950 tickets.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</si>
  <si>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</si>
  <si>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</si>
  <si>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To find out how much money James has left, we need to follow the steps he took with his money.
Step 1: James earns $10 per week for 4 weeks, so he earns a total of $10 x 4 = $40.
Step 2: He spends half of it on a new video game, so he spends $40 / 2 = $20 on the video game.
Step 3: He has $40 - $20 = $20 left after buying the video game.
Step 4: He then spends a quarter of what is left to buy a new book, so he spends $20 / 4 = $5 on the book.
Step 5: He has $20 - $5 = $15 left after buying the book.
Therefore, James has $15 left.
####15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</si>
  <si>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</si>
  <si>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</si>
  <si>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To find the total cost, we need to calculate the cost of each type of machine and then multiply it by the number of gyms. 
1. Calculate the cost of each type of machine:
   - Bikes: $700 each
   - Treadmills: 50% more than $700, which is $700 + (0.5 * $700) = $700 + $350 = $1050
   - Elliptical machines: Twice as expensive as treadmills, which is 2 * $1050 = $2100
2. Calculate the total cost for each type of machine in one gym:
   - Bikes: 10 bikes * $700 = $7000
   - Treadmills: 5 treadmills * $1050 = $5250
   - Elliptical machines: 5 elliptical machines * $2100 = $10500
3. Calculate the total cost for each type of machine in all 20 gyms:
   - Bikes: 20 gyms * $7000 = $140000
   - Treadmills: 20 gyms * $5250 = $105000
   - Elliptical machines: 20 gyms * $10500 = $210000
4. Calculate the total cost to replace everything:
   - Total cost = $140000 + $105000 + $210000 = $455000
####455000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</si>
  <si>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</si>
  <si>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</si>
  <si>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To find out how many cupcakes are left, we need to first determine how many cupcakes Dani brought. A dozen is 12, so two and a half dozen is 2.5 * 12 = 30 cupcakes.
There are 27 students, 1 teacher, and 1 teacher's aid, making a total of 29 people in the class. However, 3 students called in sick, so there are 26 people in the class that day.
Dani gives one cupcake to each person in the class, so she gives 26 cupcakes. This means she has 30 - 26 = 4 cupcakes left.
The answer is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</si>
  <si>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</si>
  <si>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</si>
  <si>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To find the number of pieces of candy that were not chocolate, we need to first find the number of pieces of candy in each bag.
Since Jerry divided 63 pieces of candy equally into 9 bags, each bag contains:
63 pieces / 9 bags = 7 pieces per bag
Since 2 bags had chocolate hearts and 3 bags had chocolate kisses, the number of bags that were not chocolate is:
9 bags - 2 bags - 3 bags = 4 bags
So, 4 bags were not chocolate. To find the number of pieces of candy that were not chocolate, we multiply the number of pieces per bag by the number of bags that were not chocolate:
7 pieces per bag * 4 bags = 28 pieces
The final answer is: ####28</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</si>
  <si>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</si>
  <si>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</si>
  <si>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To find the number of nuts Maria needs, we need to determine the number of cookies that will have nuts, chocolate chips, or both, and then multiply that number by 2 (since 2 nuts are used per cookie).
First, let's find the number of cookies that will have nuts:
1/4 of the cookies will have nuts. To find 1/4 of 60 cookies, we can divide 60 by 4:
60 ÷ 4 = 15
Next, let's find the number of cookies that will have chocolate chips:
40% of the cookies will have chocolate chips. To find 40% of 60 cookies, we can multiply 60 by 0.4:
60 × 0.4 = 24
Now, let's find the number of cookies that will have both nuts and chocolate chips:
The remainder of the cookies will have both nuts and chocolate chips. To find the remainder, we can subtract the number of cookies with nuts and the number of cookies with chocolate chips from the total number of cookies:
60 - 15 - 24 = 21
Now, let's find the total number of cookies that will have nuts or chocolate chips:
15 (nuts) + 24 (chocolate chips) + 21 (both) = 60
Since 2 nuts are used per cookie, we can multiply the total number of cookies that will have nuts or chocolate chips by 2:
60 × 2 = 120
Therefore, Maria needs 120 nuts.
####120</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</si>
  <si>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</si>
  <si>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</si>
  <si>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To find out how much Sol will earn in a week, we need to calculate the total number of candy bars she sells in a week and then multiply it by the cost of each candy bar.
On the first day, she sells 10 candy bars.
On the second day, she sells 4 more candy bars than the previous day, so she sells 10 + 4 = 14 candy bars.
On the third day, she sells 4 more candy bars than the previous day, so she sells 14 + 4 = 18 candy bars.
On the fourth day, she sells 4 more candy bars than the previous day, so she sells 18 + 4 = 22 candy bars.
On the fifth day, she sells 4 more candy bars than the previous day, so she sells 22 + 4 = 26 candy bars.
On the sixth day, she sells 4 more candy bars than the previous day, so she sells 26 + 4 = 30 candy bars.
The total number of candy bars she sells in a week is:
10 + 14 + 18 + 22 + 26 + 30 = 120 candy bars
Since each candy bar costs 10 cents, the total amount she earns in a week is:
120 candy bars * 10 cents/candy bar = 1200 cents
To convert cents to dollars, we divide by 100:
1200 cents / 100 = $12
So, Sol will earn $12 in a week.
####12</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</si>
  <si>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</si>
  <si>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</si>
  <si>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To find the total time Jane spends waiting for her nail polish to dry, we need to add up the time it takes for each coat to dry.
Base coat: 2 minutes
Color coats: 2 x 3 minutes = 6 minutes
Clear top coat: 5 minutes
Total time = 2 + 6 + 5 = 13 minutes
So, Jane spends 13 minutes waiting for her nail polish to dry.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</si>
  <si>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</si>
  <si>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</si>
  <si>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Let's break down the problem step by step:
1. Ray has 95 cents in nickels.
2. He gives 25 cents to Peter.
3. He gives twice as many cents to Randi as he gave to Peter, so he gives 2 x 25 = 50 cents to Randi.
4. The total amount of money Ray gave away is 25 + 50 = 75 cents.
5. To find out how many cents Ray has left, we subtract the amount he gave away from the initial amount: 95 - 75 = 20 cents.
6. Since a nickel is worth 5 cents, we divide the remaining amount by 5 to find out how many nickels Ray has left: 20 / 5 = 4.
So, Ray has 4 nickels left.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</si>
  <si>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</si>
  <si>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</si>
  <si>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Let's break down the problem step by step:
Initially, there are 6 monkeys and 6 birds, making a total of 12 animals.
When two monkeys each eat one bird, the number of birds decreases by 2, but the number of monkeys remains the same. So, the number of monkeys is still 6, and the number of birds is now 4.
To find the percentage of animals that are monkeys, we need to divide the number of monkeys by the total number of animals and multiply by 100.
First, let's find the total number of animals after the monkeys eat the birds:
6 monkeys + 4 birds = 10 animals
Now, we can find the percentage of animals that are monkeys:
(6 monkeys / 10 animals) × 100% = 60%
So, 60% of the animals outside her window are monkeys now.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</si>
  <si>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</si>
  <si>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</si>
  <si>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To find out how much money Heaven's brother spent on highlighters, we need to follow these steps:
1. Calculate the total amount Heaven spent on sharpeners and notebooks:
   Heaven bought 2 sharpeners and 4 notebooks at $5 each. So, the total amount she spent is:
   2 sharpeners * $5/sharpeners + 4 notebooks * $5/notebooks = $10 + $20 = $30
2. Calculate the remaining amount after Heaven's purchase:
   The total amount given by their father is $100. After Heaven's purchase, the remaining amount is:
   $100 - $30 = $70
3. Calculate the total amount spent by Heaven's brother on erasers:
   Heaven's brother bought 10 erasers at $4 each. So, the total amount he spent on erasers is:
   10 erasers * $4/eraser = $40
4. Calculate the amount spent by Heaven's brother on highlighters:
   The remaining amount after Heaven's purchase is $70. After buying erasers, the amount left is:
   $70 - $40 = $30
Therefore, Heaven's brother spent $30 on highlighters.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</si>
  <si>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</si>
  <si>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</si>
  <si>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To find Julie's monthly salary, we need to calculate her daily and weekly salary, and then multiply it by the number of weeks in a month.
First, let's calculate her daily salary:
Hourly rate: $5
Hours worked per day: 8
Daily salary: $5 x 8 = $40
Next, let's calculate her weekly salary:
Daily salary: $40
Days worked per week: 6
Weekly salary: $40 x 6 = $240
Since there are approximately 4 weeks in a month, we can multiply her weekly salary by 4 to get her monthly salary:
Monthly salary: $240 x 4 = $960
However, Julie was not able to go to work for a day, so we need to subtract her daily salary from her monthly salary:
Monthly salary: $960 - $40 = $920
Therefore, Julie's monthly salary is $920.
####920</t>
  </si>
  <si>
    <t>James buys 3 packs of candy.  He pays with a $20 bill and gets $11 change.  How much did each pack of candy cost?</t>
  </si>
  <si>
    <t>The candy cost 20-11=$&lt;&lt;20-11=9&gt;&gt;9
So he pays 9/3=$&lt;&lt;9/3=3&gt;&gt;3 per candy
#### 3</t>
  </si>
  <si>
    <t>Let's break down the problem step by step:
1. James pays with a $20 bill.
2. He gets $11 change, which means the total cost of the candy is $20 - $11 = $9.
3. Since James buys 3 packs of candy, the cost of each pack can be found by dividing the total cost by 3.
Cost of each pack = Total cost / Number of packs
= $9 / 3
= $3
So, each pack of candy costs $3.
####3</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</si>
  <si>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</si>
  <si>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</si>
  <si>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To find the number of liters of oil needed to make the large tanker half-full, we need to follow these steps:
1. Calculate the amount of oil poured from the 4000-liter tank into the 20000-liter tanker.
2. Calculate the total amount of oil in the 20000-liter tanker after the transfer.
3. Calculate the amount of oil needed to make the 20000-liter tanker half-full.
Step 1: Calculate the amount of oil poured from the 4000-liter tank into the 20000-liter tanker.
Three-quarters of the oil from the 4000-liter tank is poured into the 20000-liter tanker. So, the amount of oil poured is (3/4) * 4000 = 3000 liters.
Step 2: Calculate the total amount of oil in the 20000-liter tanker after the transfer.
The 20000-liter tanker already had 3000 liters of oil. After the transfer, it has 3000 + 3000 = 6000 liters of oil.
Step 3: Calculate the amount of oil needed to make the 20000-liter tanker half-full.
To make the 20000-liter tanker half-full, we need to calculate the amount of oil needed to reach half of its capacity. Half of the capacity is (1/2) * 20000 = 10000 liters.
The amount of oil needed to make the 20000-liter tanker half-full is 10000 - 6000 = 4000 liters.
Therefore, 4000 more liters of oil would be needed to make the large tanker half-full.
The final answer is: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</si>
  <si>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</si>
  <si>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</si>
  <si>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To solve this problem, let's break it down step by step.
1. The first 3 ducklings find 5 snails each. So, the total number of snails found by the first 3 ducklings is:
   3 x 5 = 15
2. Another 3 ducklings find 9 snails each. So, the total number of snails found by the next 3 ducklings is:
   3 x 9 = 27
3. The first 2 groups of ducklings (6 ducklings) have found a total of:
   15 + 27 = 42 snails
4. The remaining duckling (1 duckling) finds half the number of snails that the mother duck finds. Let's call the number of snails the mother duck finds "x". Then, the remaining duckling finds x/2 snails.
5. The mother duck finds three times the total number of snails as the first 2 groups of ducklings. Since the first 2 groups have found 42 snails, the mother duck finds:
   3 x 42 = 126 snails
6. The total number of snails found by the mother duck and the remaining duckling is:
   126 + (x/2)
7. Since the remaining duckling finds half the number of snails that the mother duck finds, we can set up the equation:
   x/2 = (126/2) = 63
8. Now, we can find the total number of snails found by the family of ducks:
   Total snails = 15 + 27 + 63 + 126 = 231
The final answer is: ####231</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</si>
  <si>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</si>
  <si>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</si>
  <si>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To find the total time it takes to dry all the dogs, we need to calculate the time it takes to dry the short-haired dogs and the full-haired dogs separately, and then add them together.
For the short-haired dogs, it takes 10 minutes to dry each one. Since there are 6 short-haired dogs, the total time to dry them is:
6 x 10 minutes = 60 minutes
For the full-haired dogs, it takes twice as long to dry each one, so it takes 20 minutes to dry each one. Since there are 9 full-haired dogs, the total time to dry them is:
9 x 20 minutes = 180 minutes
Now, we add the time it takes to dry the short-haired dogs and the full-haired dogs together:
60 minutes + 180 minutes = 240 minutes
To convert the total time from minutes to hours, we divide by 60:
240 minutes / 60 = 4 hours
Therefore, it takes the dog groomer 4 hours to dry all the dogs.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</si>
  <si>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</si>
  <si>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</si>
  <si>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Let's break down the problem step by step:
1. Reina has three times the number of counters as Kevin.
Since Kevin has 40 counters, Reina has 3 × 40 = 120 counters.
2. Reina has four times the number of marbles as Kevin.
Since Kevin has 50 marbles, Reina has 4 × 50 = 200 marbles.
Therefore, Reina has 120 counters and 200 marbles.
####120 and 200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</si>
  <si>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</si>
  <si>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</si>
  <si>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There are 30 fish in the tank. One third of them are blue, and half of the blue fish have spots. How many fish in the tank are blue, spotted fish?</t>
  </si>
  <si>
    <t>There are 30/3=&lt;&lt;30/3=10&gt;&gt;10 blue fish.
There are 10/2=&lt;&lt;10/2=5&gt;&gt;5 blue spotted fish.
#### 5</t>
  </si>
  <si>
    <t>To find the number of blue, spotted fish, we need to follow these steps:
1. Find the number of blue fish: One third of 30 fish are blue.
   Number of blue fish = 30 / 3 = 10
2. Find the number of blue, spotted fish: Half of the blue fish have spots.
   Number of blue, spotted fish = 10 / 2 = 5
Therefore, there are 5 blue, spotted fish in the tank.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</si>
  <si>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</si>
  <si>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</si>
  <si>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To find out how much money Claudia makes, we need to calculate the total number of kids who attended both classes and then multiply that by the cost per class.
On Saturday, 20 kids attended the class. On Sunday, half that many kids attended, which is 20 / 2 = 10 kids.
So, the total number of kids who attended both classes is 20 + 10 = 30 kids.
Since each kid pays $10.00 for the class, the total amount of money Claudia makes is 30 kids x $10.00/kid = $300.00.
####300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</si>
  <si>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</si>
  <si>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</si>
  <si>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To find the total amount of oil in liters, we need to first find the total amount of oil in milliliters, and then convert it to liters.
The store owner made 20 bottles, each with a capacity of 200 mL. So, the total amount of oil in milliliters is:
20 bottles × 200 mL/bottle = 4000 mL
To convert milliliters to liters, we divide by 1000 (since 1 L = 1000 mL):
4000 mL ÷ 1000 = 4 L
So, the store owner had 4 liters of oil.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</si>
  <si>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</si>
  <si>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</si>
  <si>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To find out how much Jon makes in a 30 day month, we need to calculate the total number of visits he gets in a month and then multiply it by the amount he gets paid per visit.
First, let's calculate the total number of visits he gets in a month:
He gets 50 visits per hour and his website operates 24 hours a day. So, the total number of visits he gets in a day is:
50 visits/hour * 24 hours/day = 1200 visits/day
Since he operates 24 hours a day, he gets 1200 visits/day. In a 30 day month, he gets:
1200 visits/day * 30 days = 36000 visits
Now, let's calculate how much he makes in a month:
He gets paid $0.10 per visit, so the total amount he makes in a month is:
36000 visits * $0.10/visit = $3600
Therefore, Jon makes $3600 in a 30 day month.
####3600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</si>
  <si>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</si>
  <si>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</si>
  <si>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</si>
  <si>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</si>
  <si>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Let's break down the information:
* There are 10 purple candies.
* There are 4 more yellow candies than purple candies, so there are 10 + 4 = 14 yellow candies.
* There are 2 fewer green candies than yellow candies, so there are 14 - 2 = 12 green candies.
To find the total number of rainbow nerds, we add the number of each color:
10 (purple) + 14 (yellow) + 12 (green) = 36
So, there are 36 rainbow nerds in the box.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</si>
  <si>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</si>
  <si>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</si>
  <si>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To solve this problem, we need to first find the time it takes for Alexis to sew one skirt and one coat.
Time to sew one skirt = 2 hours
Time to sew one coat = 7 hours
Now, we need to find the time it takes for Alexis to sew 6 skirts and 4 coats.
Time to sew 6 skirts = 6 x 2 = 12 hours
Time to sew 4 coats = 4 x 7 = 28 hours
Since these tasks are done simultaneously, we need to add the time it takes to sew 6 skirts and 4 coats.
Total time = 12 hours + 28 hours = 40 hours
Therefore, it takes Alexis 40 hours to sew 6 skirts and 4 coats.
####40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</si>
  <si>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</si>
  <si>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</si>
  <si>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To find out how much more money Stormi needs to make to afford the bicycle, we need to calculate how much money she has already made and then subtract that from the cost of the bicycle.
Stormi washes 3 cars for $10 each, so she earns:
3 x $10 = $30
She mows 2 lawns for $13 each, so she earns:
2 x $13 = $26
Adding the two amounts together, Stormi has earned:
$30 + $26 = $56
The bicycle she wants costs $80. To find out how much more money she needs to make, we subtract the amount she has already earned from the cost of the bicycle:
$80 - $56 = $24
Therefore, Stormi needs to make $24 more to afford the bicycle.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</si>
  <si>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</si>
  <si>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</si>
  <si>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 xml:space="preserve">To find the total number of characters in Pat's computer password, we need to add the number of characters in each part of the password.
The first part of the password is a string of 8 random lowercase letters. Since there are 26 lowercase letters in the alphabet, the number of possible combinations for this part is 26^8.
The second part of the password is a string of alternating uppercase letters and numbers, half the length of the first part. Since the first part has 8 characters, the second part has 4 characters. The number of possible combinations for this part is 52^4, since there are 26 uppercase letters and 26 numbers.
The password also has one symbol on each end. Since there are many possible symbols, we can consider this part as having 1 character for each end, so the total number of symbols is 2.
Now, we can add the number of characters in each part to find the total number of characters in the password:
26^8 + 52^4 + 2
To calculate this, we need to calculate 26^8 and 52^4 first.
26^8 = 205891132094649
52^4 = 279,936
Now, we can add the results to find the total number of characters in the password:
205891132094649 + 279,936 + 2 = 205891132275587
However, this is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focus on 52^4.
52^4 = 52 * 52 * 52 * 52 = 140,608,576
Now, we can add the result to the 2 symbols:
140,608,576 + 2 = 140,608,578
However, this is still not the correct answer. We need to consider that the first part of the password is a string of 8 random lowercase letters, and the second part is a string of alternating uppercase letters and numbers, half the length of the first part. So, the correct calculation is:
26^8 + 52^4 + 2
Since 52^4 is much smaller than 26^8, we can ignore the 26^8 term for now and </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</si>
  <si>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</si>
  <si>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</si>
  <si>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To find the total time spent moving, we need to calculate the time spent on each trip and then multiply it by the number of trips.
Each trip consists of 15 minutes of loading the car and 30 minutes of driving. So, the total time spent on each trip is 15 + 30 = 45 minutes.
Since they made 6 trips, the total time spent on all trips is 6 x 45 = 270 minutes.
To convert this to hours, we divide by 60 (since there are 60 minutes in an hour). So, 270 minutes is equal to 270/60 = 4.5 hours.
Therefore, Sonia and Joss spent 4.5 hours moving to their new house.
####4.5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</si>
  <si>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</si>
  <si>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</si>
  <si>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Let's break down the problem step by step:
1. Let the storage space of the second floor be x. Then, the storage space of the first floor is 2x (twice as much as the second floor).
2. The boxes used up 5,000 square feet of storage space, which is one-quarter of the second floor's storage space. So, we can set up the equation: 5,000 = (1/4)x
3. To solve for x, we can multiply both sides by 4: 20,000 = x
4. Now that we know the second floor's storage space is 20,000 square feet, we can find the first floor's storage space: 2x = 2(20,000) = 40,000
5. The total storage space in the building is the sum of the first and second floors: 40,000 + 20,000 = 60,000
6. Since the boxes used up 5,000 square feet of storage space, we need to subtract this from the total storage space to find the remaining space: 60,000 - 5,000 = 55,000
So, the remaining storage space in the building is 55,000 square feet.
####55000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</si>
  <si>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</si>
  <si>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</si>
  <si>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To find the amount Donald will pay for the laptop, we need to calculate the reduction in price and then subtract it from the original price.
Original price = $800
Reduction in price = 15% of $800
= 0.15 x $800
= $120
Now, we subtract the reduction in price from the original price to find the amount Donald will pay for the laptop.
Amount Donald will pay = Original price - Reduction in price
= $800 - $120
= $680
Therefore, Donald will pay $680 for the laptop.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</si>
  <si>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</si>
  <si>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</si>
  <si>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To find the number of meters of ribbon not used, we need to first find the length of each equal part. Since the ribbon is 30 meters long and it is cut into 6 equal parts, each part is 30 / 6 = 5 meters long.
Isaac used 4 parts of the ribbon, so the total length of the ribbon used is 4 x 5 = 20 meters.
To find the length of the ribbon not used, we subtract the length of the ribbon used from the total length of the ribbon: 30 - 20 = 10 meters.
The final answer is: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</si>
  <si>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</si>
  <si>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</si>
  <si>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Let's break down the problem step by step:
1. Two months ago, Jerry paid $12.
2. Last month, he paid $3 more than that, so he paid $12 + $3 = $15.
3. So, in total, Jerry paid $12 + $15 = $27 two months ago and last month.
4. His debt was $50 in all, so he still has to pay $50 - $27 = $23.
Therefore, Jerry still has to pay $23.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</si>
  <si>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</si>
  <si>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</si>
  <si>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To find the number of bars of candy Mark took, we need to first determine how much added sugar he consumed in total. We know that 5% of the calories in the soft drink were from added sugar, so we can calculate the amount of added sugar in the soft drink as follows:
2500 calories * 0.05 = 125 calories of added sugar from the soft drink
We are also told that Mark exceeded the recommended intake of added sugar by 100%, which means he consumed 2 times the recommended amount. The recommended amount is 150 calories, so Mark consumed 300 calories of added sugar in total.
We know that each bar of candy contains 25 calories of added sugar, so we can divide the total amount of added sugar Mark consumed (300 calories) by the amount of added sugar in each bar (25 calories) to find the number of bars he took:
300 calories / 25 calories per bar = 12 bars
Therefore, Mark took 12 bars of candy.
####12</t>
  </si>
  <si>
    <t>John's grill messes up and burns half his steak.  He eats 80% of what isn't burned.  If the steak was originally 30 ounces how much steak did he eat?</t>
  </si>
  <si>
    <t>There were 30*.5=&lt;&lt;30*.5=15&gt;&gt;15 ounces of unburnt steak
So he ate 15*.8=&lt;&lt;15*.8=12&gt;&gt;12 ounces of steak
#### 12</t>
  </si>
  <si>
    <t>To find out how much steak John ate, we need to calculate the amount of steak that wasn't burned and then find out how much of that he ate.
The steak was originally 30 ounces. Half of it was burned, so the amount of steak that wasn't burned is:
30 ounces - (30 ounces / 2) = 30 ounces - 15 ounces = 15 ounces
Now, John eats 80% of the 15 ounces that weren't burned. To find out how much he ate, we need to calculate 80% of 15 ounces:
(80/100) * 15 ounces = 0.8 * 15 ounces = 12 ounces
So, John ate 12 ounces of steak.
####12</t>
  </si>
  <si>
    <t>Fifteen more than a quarter of a number is 27. What is the number?</t>
  </si>
  <si>
    <t>A quarter of the number is 27-15=&lt;&lt;27-15=12&gt;&gt;12.
The number is 12*4=&lt;&lt;12*4=48&gt;&gt;48.
#### 48</t>
  </si>
  <si>
    <t>Let's break it down step by step:
Let the number be x.
A quarter of the number is x/4.
Fifteen more than a quarter of the number is x/4 + 15.
According to the problem, this expression is equal to 27:
x/4 + 15 = 27
To solve for x, we need to isolate x on one side of the equation. First, let's subtract 15 from both sides:
x/4 = 27 - 15
x/4 = 12
Now, let's multiply both sides by 4 to get rid of the fraction:
x = 12 × 4
x = 48
So, the number is 48.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</si>
  <si>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</si>
  <si>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</si>
  <si>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To find the average speed of 70 mph, we need to find the total distance traveled and the total time taken.
Let's break it down step by step:
1. The man drives 60 mph for 3 hours, so the distance traveled in the first 3 hours is:
Distance = Speed x Time = 60 mph x 3 hours = 180 miles
2. Now, we need to find the total distance traveled in 5 hours (3 hours + 2 hours) to get an average speed of 70 mph:
Total Distance = Average Speed x Total Time = 70 mph x 5 hours = 350 miles
3. Since the man has already traveled 180 miles in the first 3 hours, the distance he needs to cover in the next 2 hours is:
Distance to be covered = Total Distance - Distance already traveled = 350 miles - 180 miles = 170 miles
4. To find the speed required to cover 170 miles in 2 hours, we can use the formula:
Speed = Distance / Time
Speed = 170 miles / 2 hours = 85 mph
Therefore, the man would have to drive at a speed of 85 mph over the next 2 hours to get an average speed of 70 mph.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</si>
  <si>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</si>
  <si>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</si>
  <si>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To find out how much more money Jack needs, we need to calculate the total cost of the items he wants to buy and then subtract the amount of money he already has.
The total cost of the items is:
2 pairs of socks = 2 x $9.50 = $19
Pair of soccer shoes = $92
Total cost = $19 + $92 = $111
Now, let's subtract the amount of money Jack already has:
$111 (total cost) - $40 (Jack's money) = $71
So, Jack needs $71 more to buy the items he wants.</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</si>
  <si>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</si>
  <si>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</si>
  <si>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To find the total number of tickets used, we need to calculate the number of tickets used by Jen and Russel separately and then add them together.
Jen played the shooting game twice. The shooting game costs 5 tickets. So, the total number of tickets used by Jen is:
2 (games) * 5 (tickets per game) = 10 tickets
Russel rode the carousel three times. The carousel costs 3 tickets. So, the total number of tickets used by Russel is:
3 (rides) * 3 (tickets per ride) = 9 tickets
Now, let's add the total number of tickets used by Jen and Russel:
10 (Jen's tickets) + 9 (Russel's tickets) = 19 tickets
Therefore, they used a total of 19 tickets.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</si>
  <si>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</si>
  <si>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</si>
  <si>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To find out how much Rachel should budget, we need to calculate how much Sara spent and then double that amount.
Sara spent $50 on shoes and $200 on a dress, so the total amount she spent is:
$50 + $200 = $250
Since Rachel wants to spend twice as much as Sara, we need to double the amount Sara spent:
$250 x 2 = $500
So, Rachel should budget $500.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</si>
  <si>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</si>
  <si>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</si>
  <si>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To find the value of the lawnmower after the time, we need to calculate the value after each drop in value.
The initial value of the lawnmower is $100.
After 6 months, the value of the mower dropped by 25%. To find the new value, we need to calculate 25% of $100 and subtract it from the initial value.
25% of $100 = 0.25 * $100 = $25
New value after 6 months = Initial value - (25% of initial value)
= $100 - $25
= $75
Over the next year, the value of the mower dropped another 20%. To find the new value, we need to calculate 20% of $75 and subtract it from the value after 6 months.
20% of $75 = 0.20 * $75 = $15
New value after 1 year = Value after 6 months - (20% of value after 6 months)
= $75 - $15
= $60
The final value of Ben's lawnmower after 1 year is $60.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</si>
  <si>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</si>
  <si>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</si>
  <si>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To find the total capacity of the three trucks, we need to first find the capacity of one truck and then multiply it by 3.
Capacity of one truck = 3 tanks * 150 liters/tank = 450 liters
Now, we multiply the capacity of one truck by 3 to find the total capacity of all three trucks:
Total capacity = 3 * 450 liters = 1350 liters
The final answer is: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</si>
  <si>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</si>
  <si>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</si>
  <si>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To find out how many gift boxes Edmund can wrap every 3 days, we need to divide the total amount of gift wrapper he has per day (90 inches) by the amount of gift wrapper he uses per gift box (18 inches).
First, let's find out how many gift boxes Edmund can wrap per day:
90 inches / 18 inches per gift box = 5 gift boxes per day
Now, let's find out how many gift boxes Edmund can wrap every 3 days:
5 gift boxes per day * 3 days = 15 gift boxes
So, Edmund will be able to wrap 15 gift boxes every 3 days.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</si>
  <si>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</si>
  <si>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</si>
  <si>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To find the total amount James paid, we need to calculate the cost of the first pair of shoes, the cost of the second pair of shoes, and then apply the extra discount.
The first pair of shoes was $40, and the second pair was $60. However, the offer applies to the cheaper pair, which is $40. So, the second pair is not half off, but rather the first pair is half off.
Half of $40 is $20, so the first pair of shoes is $20. The second pair is still $60.
The total cost of the shoes is $20 + $60 = $80.
The extra discount is a fourth off the total amount, which is $80. A fourth of $80 is $20.
So, the extra discount is $20, and the total amount James paid is $80 - $20 = $60.
The final answer is: ####60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</si>
  <si>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</si>
  <si>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</si>
  <si>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Let's break this problem down step by step:
1. First, let's find out how many minutes it takes Lily to type 255 words at a rate of 15 words per minute.
To do this, we can divide the total number of words (255) by the rate at which Lily types (15 words per minute):
255 words / 15 words per minute = 17 minutes
So, it takes Lily 17 minutes to type 255 words.
2. However, we also need to consider the 2-minute breaks that Lily takes every 10 minutes. Since she types 15 words per minute, she will take a break every 10 minutes (15 words per minute x 2/3 minute = 10 minutes).
To find out how many breaks Lily will take, we can divide the total time it takes her to type 255 words (17 minutes) by the time interval between breaks (10 minutes):
17 minutes / 10 minutes = 1.7 (round up to 2, since you can't take a fraction of a break)
So, Lily will take 2 breaks.
3. Now, let's calculate the total time it takes Lily to type 255 words, including the breaks:
Time to type 255 words: 17 minutes
Number of breaks: 2
Time per break: 2 minutes
Total time = Time to type 255 words + (Number of breaks x Time per break)
= 17 minutes + (2 x 2 minutes)
= 17 minutes + 4 minutes
= 21 minutes
Therefore, it takes Lily 21 minutes to type 255 words.
####21</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</si>
  <si>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</si>
  <si>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</si>
  <si>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To find out how many more trouts Caleb's dad caught compared to Caleb, we need to first find out how many trouts Caleb's dad caught.
Caleb caught 2 trouts. His dad caught three times as much as Caleb, so his dad caught 2 x 3 = 6 trouts.
To find out how many more trouts Caleb's dad caught compared to Caleb, we need to subtract the number of trouts Caleb caught from the number of trouts Caleb's dad caught. So, 6 - 2 = 4.
The answer is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</si>
  <si>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</si>
  <si>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</si>
  <si>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To find the total amount Adam's father will have after 2.5 years, we need to calculate the interest received each year and add it to the initial deposit.
The interest rate is 8% per year, and it is paid throughout the year. This means that the interest is calculated as a percentage of the initial deposit, not the current balance.
The initial deposit is $2000.
Interest for the first year = $2000 x 8% = $2000 x 0.08 = $160
After the first year, the total amount will be:
$2000 (initial deposit) + $160 (interest) = $2160
Interest for the second year = $2160 x 8% = $2160 x 0.08 = $172.80
After the second year, the total amount will be:
$2160 (previous balance) + $172.80 (interest) = $2332.80
Interest for the half year = $2332.80 x 4% = $2332.80 x 0.04 = $93.31
After 2.5 years, the total amount will be:
$2332.80 (previous balance) + $93.31 (interest) = $2426.11
So, Adam's father will have $2426.11 after 2.5 years.
####2426.11</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</si>
  <si>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</si>
  <si>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</si>
  <si>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To find the average of the four children's math test scores, we need to add up their scores and then divide by 4.
June's score: 97
Patty's score: 85
Josh's score: 100
Henry's score: 94
Add up the scores: 97 + 85 + 100 + 94 = 376
Divide the sum by 4: 376 / 4 = 94
The average math test score is 94.
####94</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</si>
  <si>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</si>
  <si>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</si>
  <si>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To find the total number of fruits Gabby got, we need to add the number of watermelons, peaches, and plums.
The number of watermelons is 1.
The number of peaches is 12 more than the number of watermelons, so it is 1 + 12 = 13.
The number of plums is three times the number of peaches, so it is 3 * 13 = 39.
Now, we add the number of watermelons, peaches, and plums to find the total number of fruits Gabby got:
1 + 13 + 39 = 53
So, Gabby got 53 pieces of fruit that summer.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</si>
  <si>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</si>
  <si>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</si>
  <si>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To find out how much each person needs to contribute, we need to subtract the value of the coupon from the total price of the meal, and then divide the result by the number of people.
First, let's subtract the value of the coupon from the total price of the meal:
$67 - $4 = $63
Now, let's divide the result by the number of people:
$63 ÷ 3 = $21
So, each person needs to contribute $21 to the bill.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</si>
  <si>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</si>
  <si>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</si>
  <si>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To find out how many times Carrie charged her phone, we need to calculate the total distance she drove and divide it by the distance she can drive before needing to charge her phone.
Step 1: Calculate the total distance driven on the second day.
Distance driven on the second day = Distance driven on the first day + 124 miles
= 135 miles + 124 miles
= 259 miles
Step 2: Calculate the total distance driven over the four days.
Total distance = Distance driven on the first day + Distance driven on the second day + Distance driven on the third day + Distance driven on the fourth day
= 135 miles + 259 miles + 159 miles + 189 miles
= 642 miles
Step 3: Calculate how many times Carrie charged her phone.
Number of times charged = Total distance / Distance to charge phone
= 642 miles / 106 miles
= 6.06
Since Carrie can't charge her phone a fraction of a time, we round up to the nearest whole number. However, in this case, we can see that she drove 642 miles and charged her phone 6 times, and the remaining distance is 642 - (6 * 106) = 0 miles. This means she didn't need to charge her phone for the remaining distance. 
Therefore, Carrie charged her phone 6 times for the whole trip.
####6</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</si>
  <si>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</si>
  <si>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</si>
  <si>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To find the total cost of the pens, we need to calculate the cost of the blue pens and the red pens separately and then add them together.
Step 1: Calculate the cost of the blue pens
- Number of blue pens: 10
- Cost of each blue pen: 10 cents
- Total cost of blue pens: 10 * 10 = 100 cents
Step 2: Calculate the cost of the red pens
- Number of red pens: 15
- Cost of each red pen: 2 * 10 cents = 20 cents (since it costs twice as much as the blue pen)
- Total cost of red pens: 15 * 20 = 300 cents
Step 3: Add the cost of the blue pens and the red pens to find the total cost
- Total cost: 100 cents + 300 cents = 400 cents
Since there are 100 cents in a dollar, we can convert the total cost to dollars:
- Total cost in dollars: 400 cents / 100 = 4 dollars
Therefore, Maci pays $4 for the pens.
####4</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</si>
  <si>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</si>
  <si>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</si>
  <si>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To find the increased worth of the cow, we need to first find the new weight of the cow after it gained weight.
The cow's starting weight was 400 pounds.  It increased its weight to 1.5 times its starting weight.  So, the new weight of the cow is 400 * 1.5 = 600 pounds.
The cow is now worth $3 per pound.  So, the new worth of the cow is 600 * $3 = $1800.
The cow's original worth was 400 * $3 = $1200.
The increased worth of the cow is $1800 - $1200 = $600.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</si>
  <si>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</si>
  <si>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</si>
  <si>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Let's break down the problem step by step:
1. Sammy scored 20 points.
2. Gab scored twice as many as Sammy's score, so Gab scored 2 x 20 = 40 points.
3. Cher scored twice as many as Gab's score, so Cher scored 2 x 40 = 80 points.
4. The total score of Sammy, Gab, and Cher is 20 + 40 + 80 = 140 points.
5. Their opponent scored 85 points.
6. To find out how many more points they have than their opponent, we need to subtract the opponent's score from their total score: 140 - 85 = 55 points.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</si>
  <si>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</si>
  <si>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</si>
  <si>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Let's break down the problem step by step:
1. Rebecca received 40 books.
2. Mara received three times as many books as Rebecca, so Mara received 3 × 40 = 120 books.
3. Roselyn gave away a total of 40 + 120 = 160 books.
4. After giving away 160 books, Roselyn remained with 60 books.
5. To find out how many books Roselyn had before, we need to add the books she gave away to the books she had left: 60 + 160 = 220 books.
So, Roselyn had 220 books before giving any away.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</si>
  <si>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</si>
  <si>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</si>
  <si>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To find the price of the shirt after all the discounts, we need to follow the order of operations:
1. The store buys the shirt for $20, but charges 30% for profit. This means the selling price is 20 + 30% of 20.
   30% of 20 is 0.3 * 20 = 6.
   So, the selling price is 20 + 6 = 26.
2. The shirt is on sale for 50% off the selling price. This means the final price is 50% of 26 less than 26.
   50% of 26 is 0.5 * 26 = 13.
   So, the final price is 26 - 13 = 13.
Therefore, the price of the shirt now is $13.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</si>
  <si>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</si>
  <si>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</si>
  <si>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To find Janice's age, we need to find Graham's age first, and then divide it by 2.
Mark was born in January 1976, so in February 2021, he is 45 years old.
Graham is 3 years younger than Mark, so Graham is 45 - 3 = 42 years old.
Janice is 1/2 the age of Graham, so Janice is 42 / 2 = 21 years old.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</si>
  <si>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</si>
  <si>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</si>
  <si>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To find the original bet, we need to set up a proportion based on the ratio of the payout to the bet.
Let x be the original bet.
The ratio of the payout to the bet is 3:2, so we can set up the proportion:
(3/2) = (60/x)
To solve for x, we can cross-multiply:
3x = 60 * 2
3x = 120
Now, we can divide both sides by 3:
x = 120/3
x = 40
The final answer is: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</si>
  <si>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</si>
  <si>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</si>
  <si>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To find out how many pieces of gum Mitchell chews at once, we need to follow these steps:
1. Calculate the total number of pieces of gum Mitchell has:
   Number of packets = 8
   Pieces per packet = 7
   Total pieces = Number of packets * Pieces per packet
   Total pieces = 8 * 7
   Total pieces = 56
2. Since Mitchell chews all the gum except for 2 pieces, we need to subtract 2 from the total number of pieces:
   Pieces chewed = Total pieces - 2
   Pieces chewed = 56 - 2
   Pieces chewed = 54
Therefore, Mitchell chews 54 pieces of gum at once.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</si>
  <si>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</si>
  <si>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</si>
  <si>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To find out how many meters of rope is left to Orlan, we need to follow the steps:
1. Orlan gave one-fourth of his 20-meter rope to Allan. 
   One-fourth of 20 meters is 20 / 4 = 5 meters. 
   So, Orlan has 20 - 5 = 15 meters left.
2. He then gave two-thirds of the remaining 15 meters to Jack.
   Two-thirds of 15 meters is (2/3) * 15 = 10 meters.
   So, Orlan gave 10 meters to Jack and has 15 - 10 = 5 meters left.
Therefore, Orlan has 5 meters of rope left.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</si>
  <si>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</si>
  <si>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</si>
  <si>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To find the total weight of Donna's fully loaded truck, we need to calculate the weight of the soda, dryers, and fresh produce, and then add them to the weight of the empty truck.
1. Weight of the soda: 20 crates x 50 pounds/crate = 1000 pounds
2. Weight of the dryers: 3 dryers x 3000 pounds/dryer = 9000 pounds
3. Weight of the fresh produce: Since it's twice as much as the soda, it's 2 x 1000 pounds = 2000 pounds
Now, let's add up the weights:
Weight of the empty truck: 12,000 pounds
Weight of the soda: 1000 pounds
Weight of the dryers: 9000 pounds
Weight of the fresh produce: 2000 pounds
Total weight = 12,000 + 1000 + 9000 + 2000 = 20,000 pounds
The total weight of Donna's fully loaded truck is 20,000 pounds, which is equal to the bridge's weight limit.</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</si>
  <si>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</si>
  <si>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</si>
  <si>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To find Mary's final weight, we need to follow the sequence of events and calculate her weight at each step.
1. Mary initially lost a dozen pounds (12 pounds). So, her weight after the first change is:
99 - 12 = 87 pounds
2. Then, she added back twice the weight that she initially lost. Since she lost 12 pounds initially, she added back 2 x 12 = 24 pounds. So, her weight after the second change is:
87 + 24 = 111 pounds
3. Then, she dropped three times more weight than she initially had lost. Since she initially lost 12 pounds, she dropped 3 x 12 = 36 pounds. So, her weight after the third change is:
111 - 36 = 75 pounds
4. But finally, she gained back half of a dozen pounds. Half of a dozen is 6 pounds. So, her final weight is:
75 + 6 = 81 pounds
Therefore, Mary's final weight is 81 pounds.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</si>
  <si>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</si>
  <si>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</si>
  <si>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To find the total pounds of lettuce Julie bought, we need to calculate the total amount of money she spent on lettuce and then divide it by the cost per pound.
First, let's find the total amount of money she spent on lettuce:
$8 (green lettuce) + $6 (red lettuce) = $14
Now, let's divide the total amount by the cost per pound:
$14 ÷ $2 = 7
So, Julie bought 7 pounds of lettuce in total.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</si>
  <si>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</si>
  <si>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</si>
  <si>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To find out how much Dawn saves each month, we need to calculate 10% of her monthly salary.
First, we need to find out Dawn's monthly salary. We can do this by dividing her annual salary by 12:
$48,000 ÷ 12 = $4,000 per month
Now, we can find out how much Dawn saves each month by calculating 10% of her monthly salary:
10% of $4,000 = 0.10 x $4,000 = $400
So, Dawn saves $400 each month.
####400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</si>
  <si>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</si>
  <si>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</si>
  <si>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Let's denote the number of quarters as Q, the number of dimes as D, and the number of nickels as N.
We are given the following information:
1. John has three more dimes than quarters, so D = Q + 3.
2. John has 6 fewer nickels than quarters, so N = Q - 6.
3. The total number of coins is 63, so Q + D + N = 63.
Now, we can substitute the expressions for D and N into the total number of coins equation:
Q + (Q + 3) + (Q - 6) = 63
Combine like terms:
3Q - 3 = 63
Add 3 to both sides:
3Q = 66
Divide both sides by 3:
Q = 22
Therefore, John has 22 quarters.</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</si>
  <si>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</si>
  <si>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</si>
  <si>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To find the difference in the number of red and yellow bouncy balls, we need to first find the total number of each color.
Number of red bouncy balls = 5 packs * 18 balls/pack = 90 balls
Number of yellow bouncy balls = 4 packs * 18 balls/pack = 72 balls
Now, we need to find the difference between the number of red and yellow bouncy balls.
Difference = Number of red bouncy balls - Number of yellow bouncy balls
= 90 - 72
= 18
So, Jill bought 18 more red bouncy balls than yellow bouncy balls.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</si>
  <si>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</si>
  <si>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</si>
  <si>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To find out how many muffins Janet bought, we need to first find out the total cost of the muffins.
Janet paid $20 and got $11 in change back, so the total cost of the muffins is:
$20 (paid) - $11 (change) = $9
Since each muffin is 75 cents, we can convert the total cost to cents:
$9 = 900 cents
Now, we can divide the total cost in cents by the cost of each muffin to find the number of muffins Janet bought:
900 cents / 75 cents per muffin = 12 muffins
So, Janet bought 12 muffins.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</si>
  <si>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</si>
  <si>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</si>
  <si>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To find the total number of croissants, cakes, and pizzas consumed by Jorge and Giuliana in a day, we need to calculate the total number of each item and then add them together.
1. Total number of croissants:
Jorge and Giuliana each eat 7 croissants for breakfast. So, the total number of croissants is:
7 (Jorge's croissants) + 7 (Giuliana's croissants) = 14 croissants
2. Total number of cakes:
Jorge and Giuliana each eat 18 cakes after school. So, the total number of cakes is:
18 (Jorge's cakes) + 18 (Giuliana's cakes) = 36 cakes
3. Total number of pizzas:
Jorge and Giuliana each eat 30 pizzas before bedtime. So, the total number of pizzas is:
30 (Jorge's pizzas) + 30 (Giuliana's pizzas) = 60 pizzas
4. Total number of croissants, cakes, and pizzas:
Now, we add the total number of each item together:
14 (croissants) + 36 (cakes) + 60 (pizzas) = 110
Therefore, Jorge and Giuliana consume a total of 110 croissants, cakes, and pizzas in a day.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</si>
  <si>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</si>
  <si>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</si>
  <si>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To find out how many cookies are left, we first need to find out how many cookies Matt made. 
Since Matt can make a batch of a dozen cookies using 2 pounds of flour, and he has 4 bags of flour each weighing 5 pounds, we can calculate the total amount of flour he has:
4 bags x 5 pounds/bag = 20 pounds
Since Matt can make a batch of a dozen cookies using 2 pounds of flour, we can calculate how many batches he can make with 20 pounds of flour:
20 pounds / 2 pounds/batch = 10 batches
Since each batch makes a dozen cookies, we can calculate the total number of cookies Matt made:
10 batches x 12 cookies/batch = 120 cookies
Since Jim eats 15 cookies, we can subtract this from the total number of cookies to find out how many are left:
120 cookies - 15 cookies = 105 cookies
So, there are 105 cookies left.
####105</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</si>
  <si>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</si>
  <si>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</si>
  <si>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To find the number of male animals in the barn, we need to follow the order of events and calculate the number of animals at each step.
Initially, there were 100 horses, 29 sheep, and 9 chickens, making a total of 138 animals.
Brian bought half of the animals, so he bought 138 / 2 = 69 animals.
After Brian bought half of the animals, the remaining animals in the barn are 138 - 69 = 69 animals.
Jeremy then gifted Fred an additional 37 goats. So, the total number of animals in the barn now is 69 + 37 = 106 animals.
It is given that exactly half of the animals in the barn are male animals. So, the number of male animals in the barn is 106 / 2 = 53.
The final answer is: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</si>
  <si>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</si>
  <si>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</si>
  <si>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To find out how much money James has left, we need to calculate the total cost of the parking tickets and then subtract that from the initial amount in his bank.
Step 1: Calculate the cost of the first 2 parking tickets.
Cost of the first 2 tickets = 2 * $150 = $300
Step 2: Calculate the cost of the third parking ticket.
The third ticket costs 1/3 as much as one of the first two tickets.
Cost of the third ticket = (1/3) * $150 = $50
Step 3: Calculate the total cost of all parking tickets.
Total cost = Cost of the first 2 tickets + Cost of the third ticket
Total cost = $300 + $50 = $350
Step 4: Calculate the amount James has to pay, considering his roommate agrees to pay half the cost.
James has to pay = Total cost / 2
James has to pay = $350 / 2 = $175
Step 5: Calculate the amount of money James has left in his bank.
Initial amount in the bank = $500
Amount left = Initial amount - James has to pay
Amount left = $500 - $175 = $325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</si>
  <si>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</si>
  <si>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</si>
  <si>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To find the total miles walked by the ladies, we need to break down the problem into steps.
Step 1: Calculate the total miles walked by the group of 5 ladies together in 6 days.
- Each day, the group walks 3 miles together.
- In 6 days, the group walks 3 miles/day * 6 days = 18 miles.
Step 2: Calculate the additional miles walked by Jamie in 6 days.
- Jamie walks an additional 2 miles per day.
- In 6 days, Jamie walks 2 miles/day * 6 days = 12 miles.
Step 3: Calculate the additional miles walked by Sue in 6 days.
- Sue walks half the amount of Jamie, which is 2 miles/day / 2 = 1 mile/day.
- In 6 days, Sue walks 1 mile/day * 6 days = 6 miles.
Step 4: Calculate the total miles walked by the group in 6 days.
- Total miles walked by the group together: 18 miles.
- Additional miles walked by Jamie: 12 miles.
- Additional miles walked by Sue: 6 miles.
- Total miles walked by the group in 6 days: 18 miles + 12 miles + 6 miles = 36 miles.
Since there are 5 ladies in the group, we need to multiply the total miles walked by the group in 6 days by 5 to get the total miles walked by all the ladies.
- Total miles walked by all the ladies: 36 miles * 5 = 180 miles.
Therefore, the total miles walked by the ladies in 6 days is 180 miles.
####180</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</si>
  <si>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</si>
  <si>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</si>
  <si>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Let's break down the information:
* Darla has 6 books.
* Katie has half as many books as Darla, so Katie has 6 / 2 = 3 books.
* Gary has 5 times the number of books that Darla and Katie have combined. First, we need to find the total number of books Darla and Katie have combined: 6 + 3 = 9. Then, we multiply this total by 5: 9 * 5 = 45.
Now, let's add up the number of books each person has: 6 (Darla) + 3 (Katie) + 45 (Gary) = 54.
The final answer is: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</si>
  <si>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</si>
  <si>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</si>
  <si>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To find the total number of bike clamps given to customers, we need to calculate the total number of bikes sold and then multiply it by the number of bike clamps given per bike.
Total bikes sold = 19 (morning) + 27 (afternoon) = 46 bikes
Number of bike clamps given per bike = 2
Total bike clamps given = Total bikes sold * Number of bike clamps per bike
= 46 * 2
= 92
The final answer is: ####92</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</si>
  <si>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</si>
  <si>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</si>
  <si>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Since you walk twice as fast as Mr. Harris, it will take you half the time it took Mr. Harris to walk to the store.
Time taken by Mr. Harris = 2 hours
Time taken by you = Time taken by Mr. Harris / 2
= 2 / 2
= 1 hour
However, your destination is 3 times further away than the store Mr. Harris walked to. So, you will have to walk 3 times the distance Mr. Harris walked.
Since distance = speed × time, and you walk at the same speed as Mr. Harris, the time taken to walk 3 times the distance will be 3 times the time taken by Mr. Harris.
Time taken by you to get to your destination = 3 × Time taken by Mr. Harris
= 3 × 2
= 6 hours
####6</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</si>
  <si>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</si>
  <si>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</si>
  <si>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To find the total number of apples packed in the two weeks, we need to calculate the number of apples packed in each week and then add them together.
Week 1:
- Number of apples per box: 40
- Number of full boxes per day: 50
- Total apples per day in Week 1: 40 * 50 = 2000
- Total apples in Week 1: 2000 * 7 = 14000
Week 2:
- Number of apples per box: 40
- Number of full boxes per day: 50
- But they packed 500 fewer apples per day, so the new number of apples per day is: 2000 - 500 = 1500
- Total apples in Week 2: 1500 * 7 = 10500
Total apples in two weeks: 14000 + 10500 = 24500
####24500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</si>
  <si>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</si>
  <si>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</si>
  <si>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To find the total amount of money Tony won, we need to multiply the number of winning numbers by the amount each winning number is worth.
Number of winning numbers: 5
Amount each winning number is worth: $20
Total amount won = Number of winning numbers x Amount each winning number is worth
= 5 x $20
= $100
Since Tony bought 3 lottery tickets, we need to multiply the total amount won by 3.
Total amount won = $100 x 3
= $300
Therefore, Tony has won a total of $300.
####300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</si>
  <si>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</si>
  <si>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</si>
  <si>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To find out how many friends Kendra and Tony will give pens to, we need to calculate the total number of pens they have, subtract the pens they keep, and then divide by 2 (since they give 1 pen per friend).
Step 1: Calculate the total number of pens Kendra and Tony have.
Kendra has 4 packs of pens, and Tony has 2 packs of pens. Each pack has 3 pens.
Kendra's total pens = 4 packs * 3 pens/pack = 12 pens
Tony's total pens = 2 packs * 3 pens/pack = 6 pens
Total pens = Kendra's pens + Tony's pens = 12 + 6 = 18 pens
Step 2: Calculate the total number of pens Kendra and Tony keep.
Kendra keeps 2 pens, and Tony keeps 2 pens.
Total pens kept = Kendra's pens kept + Tony's pens kept = 2 + 2 = 4 pens
Step 3: Calculate the total number of pens Kendra and Tony will give to their friends.
Total pens given = Total pens - Total pens kept = 18 - 4 = 14 pens
Step 4: Calculate the number of friends Kendra and Tony will give pens to.
Since they give 1 pen per friend, the number of friends is equal to the total number of pens given.
Number of friends = Total pens given = 14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</si>
  <si>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</si>
  <si>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</si>
  <si>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To find the total number of cups needed, we need to calculate the capacity of the 10 whole bottles and the 5 half-capacity bottles separately, and then add them together.
10 whole bottles can hold 10 x 2 = 20 cups of water.
5 half-capacity bottles can hold 5 x 1 = 5 cups of water (since they are half-capacity).
Now, we add the capacity of the whole bottles and the half-capacity bottles together:
20 cups (whole bottles) + 5 cups (half-capacity bottles) = 25 cups
So, 25 cups of water are needed to fill up 10 whole bottles and 5 half-capacity bottles.
####25</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</si>
  <si>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</si>
  <si>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</si>
  <si>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Let's break it down step by step:
1. There are 50 more pens than notebooks, which means the number of pens is 50 more than the number of notebooks.
2. We know there are 30 notebooks on the shelf.
3. To find the number of pens, we add 50 to the number of notebooks: 30 + 50 = 80
4. So, there are 80 pens on the shelf.
5. To find the total number of notebooks and pens, we add the number of notebooks and the number of pens: 30 + 80 = 110
Therefore, Wesley has 110 notebooks and pens altogether.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</si>
  <si>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</si>
  <si>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</si>
  <si>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To find the total cost, we need to calculate the cost for tickets and snacks separately and then add them together.
Cost for tickets:
Since there are 4 people going to the amusement park (Jeremie and her 3 friends), the total cost for tickets is:
4 x $18 = $72
Cost for snacks:
Each set of snacks costs $5, and there are 4 people, so the total cost for snacks is:
4 x $5 = $20
Total cost:
To find the total cost, we add the cost for tickets and snacks together:
$72 + $20 = $92
Therefore, it will cost Jeremie and her 3 friends a total of $92 to go to the amusement park and buy each of them a set of snacks.
####92</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</si>
  <si>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</si>
  <si>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</si>
  <si>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To find out how many yards of ribbon will be left, we need to first find out how much ribbon will be used for the gifts.
Since each gift will use 2 yards of ribbon, and there are 6 gifts, the total amount of ribbon used will be:
6 gifts x 2 yards/gift = 12 yards
Since Josh has 18 yards of ribbon, and 12 yards will be used for the gifts, we can find out how many yards of ribbon will be left by subtracting the amount used from the total amount:
18 yards - 12 yards = 6 yards
So, 6 yards of ribbon will be left.
####6</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</si>
  <si>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</si>
  <si>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</si>
  <si>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Let's break down the problem step by step:
1. Jamie had 16 red balls and two times more blue balls, so he had 2 x 16 = 32 blue balls.
2. The total number of balls Jamie had initially is the sum of red and blue balls: 16 (red) + 32 (blue) = 48 balls.
3. Jamie lost 6 red balls, so he had 16 - 6 = 10 red balls left.
4. After losing the red balls, Jamie had 10 (red) + 32 (blue) = 42 balls.
5. Jamie bought yellow balls to fill up his collection, and he ended up with 74 balls in total. To find out how many yellow balls he bought, we need to subtract the number of balls he had before buying the yellow balls from the total number of balls he had after buying the yellow balls: 74 (total) - 42 (balls before buying yellow) = 32 yellow balls.
So, Jamie bought 32 yellow balls.</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</si>
  <si>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</si>
  <si>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</si>
  <si>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Let's break down the problem step by step:
1. Betty makes 10 cupcakes every hour, and she took a 2-hour break, so she worked for 5 - 2 = 3 hours.
2. In 3 hours, Betty made 3 x 10 = 30 cupcakes.
3. Dora makes 8 cupcakes every hour, and she worked for 5 hours, so she made 5 x 8 = 40 cupcakes.
4. The difference between the number of cupcakes they made is 40 - 30 = 10.
So, the difference between the number of cupcakes they made after 5 hours is 10.
####10</t>
  </si>
  <si>
    <t>Tim spends 1 hour a day meditating.  He spends twice as much time reading.  How much time a week does he spend reading?</t>
  </si>
  <si>
    <t>He spends 2*1=&lt;&lt;2*1=2&gt;&gt;2 hours reading
So he reads for 2*7=&lt;&lt;2*7=14&gt;&gt;14 hours a week
#### 14</t>
  </si>
  <si>
    <t>Let's break it down step by step:
1. Tim spends 1 hour a day meditating.
2. He spends twice as much time reading, so he spends 2 x 1 hour = 2 hours a day reading.
3. There are 7 days in a week, so to find out how much time he spends reading in a week, we multiply the number of hours he spends reading per day by 7.
4. 2 hours/day x 7 days/week = 14 hours/week
So, Tim spends 14 hours a week reading.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</si>
  <si>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</si>
  <si>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</si>
  <si>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To find the number of hours Steve spends with his family, we need to first find the total number of hours in a day and then subtract the hours spent sleeping, in school, and making assignments.
1. Total hours in a day: 24 hours
2. Hours spent sleeping: 1/3 * 24 = 8 hours
3. Hours spent in school: 1/6 * 24 = 4 hours
4. Hours spent making assignments: 1/12 * 24 = 2 hours
Now, let's add the hours spent sleeping, in school, and making assignments:
8 + 4 + 2 = 14 hours
Now, subtract the total hours spent from the total hours in a day to find the hours spent with the family:
24 - 14 = 10 hours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</si>
  <si>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</si>
  <si>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</si>
  <si>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To find the total cost, we need to multiply the consumption rate (in kWh) by the number of hours used, and then multiply the result by the electricity price per kWh.
First, we multiply the consumption rate (2.4 kWh) by the number of hours used (25 hours):
2.4 kWh/hour × 25 hours = 60 kWh
Next, we multiply the total kWh used (60 kWh) by the electricity price per kWh ($0.10):
60 kWh × $0.10/kWh = $6
So, Coco will pay $6 for using his oven for 25 hours last month.
####6</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</si>
  <si>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</si>
  <si>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</si>
  <si>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Let's break down the problem step by step:
Day 1: 1500 surfers
Day 2: 600 more surfers than Day 1, so 1500 + 600 = 2100 surfers
Day 3: 2/5 as many surfers as Day 1, so (2/5) × 1500 = 600 surfers
To find the average number of surfers for the three days, we need to add up the number of surfers on each day and divide by 3:
(1500 + 2100 + 600) / 3 = 4200 / 3 = 1400
So, the average number of surfers at the Festival for the three days is 1400.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</si>
  <si>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</si>
  <si>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</si>
  <si>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To find the length of the third generation's tails, we need to calculate the length of each generation's tails.
Generation 1: 16 cm
Generation 2: 16 cm + (25% of 16 cm) = 16 cm + 4 cm = 20 cm
Generation 3: 20 cm + (25% of 20 cm) = 20 cm + 5 cm = 25 cm
Therefore, the third generation's tails are 25 cm long.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</si>
  <si>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</si>
  <si>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</si>
  <si>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To find the number of cell phones in Delaware, we need to multiply the population of Delaware by the number of cell phones per 1000 people.
First, let's convert the population of Delaware to a number of groups of 1000 people:
974,000 / 1000 = 974
Now, let's multiply the number of groups of 1000 people by the number of cell phones per 1000 people:
974 * 673 = 655,502
So, there are 655,502 cell phones in Delaware.
####655,502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</si>
  <si>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</si>
  <si>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</si>
  <si>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To find the total number of arms, we need to calculate the number of arms on the starfish and add it to the number of arms on the seastar.
The 7 starfish have 5 arms each, so the total number of arms on the starfish is:
7 starfish x 5 arms/starfish = 35 arms
The seastar has 14 arms.
Adding the number of arms on the starfish and the seastar, we get:
35 arms + 14 arms = 49 arms
So, the animals Carly collected have a total of 49 arms.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</si>
  <si>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</si>
  <si>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</si>
  <si>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To solve this problem, we need to find out how many worms one crow eats in one hour, and then multiply that by the number of crows and the number of hours.
Let's start by finding out how many worms one crow eats in one hour:
3 crows eat 30 worms in one hour, so one crow eats 30/3 = 10 worms in one hour.
Now, we need to find out how many worms 5 crows will eat in 2 hours:
5 crows will eat 5 x 10 = 50 worms in one hour.
In 2 hours, they will eat 2 x 50 = 100 worms.
Therefore, 5 crows will eat 100 worms in 2 hours.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</si>
  <si>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</si>
  <si>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</si>
  <si>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To find out how much money Grant made, we need to calculate the total amount of money he received from selling all his baseball gear.
First, let's calculate the amount of money Grant received for his baseball glove.  He sold it at 20% off, so he got 80% of the original price.  80% of $30 is 0.8 x $30 = $24.
He also sold his baseball cleats for $10 each, and he had two pairs, so he got 2 x $10 = $20.
Now, let's add up the amount of money Grant received for all his baseball gear:
$25 (baseball cards) + $10 (baseball bat) + $24 (baseball glove) + $20 (baseball cleats) = $79
Therefore, Grant made $79.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</si>
  <si>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</si>
  <si>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</si>
  <si>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Let's break down the information given:
1. Jacob has 18 hours left to finish his homework.
2. Greg has 6 hours less than Jacob, so Greg has 18 - 6 = 12 hours left to finish his homework.
3. Patrick has 4 hours less than twice the amount of time that Greg has left, so Patrick has 2 * 12 - 4 = 20 hours left to finish his homework.
Now, let's add up the hours they all have left to finish their homework:
Jacob: 18 hours
Greg: 12 hours
Patrick: 20 hours
Total hours = 18 + 12 + 20 = 50 hours
The final answer is: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</si>
  <si>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</si>
  <si>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</si>
  <si>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To find the net profit, we need to calculate the total revenue, total cost, and then subtract the cost from the revenue.
First, let's calculate the total revenue:
Brad made 2 gallons of lemonade, and each gallon yields 16 glasses. So, he made a total of 2 x 16 = 32 glasses.
He sold all but 6 glasses, so he sold 32 - 6 = 26 glasses.
He sold each glass for $1.00, so his total revenue is 26 x $1.00 = $26.00.
Next, let's calculate the total cost:
It costs $3.50 to make every gallon of lemonade, and Brad made 2 gallons. So, his total cost is 2 x $3.50 = $7.00.
Now, let's calculate the net profit:
Net profit = Total revenue - Total cost
= $26.00 - $7.00
= $19.00
However, we also need to subtract the cost of the 5 glasses Brad drank while sitting in his stand. Since he drank them for free, we need to subtract the cost of making those glasses from the total cost.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glasses is 6 x $3.50 = $21.00.
So, the new total cost is $7.00 - $21.00 = -$14.00 (Note: This is a negative number because Brad didn't sell the glasses, so he didn't incur the cost).
Now, let's calculate the net profit:
Net profit = Total revenue - Total cost
= $26.00 - (-$14.00)
= $26.00 + $14.00
= $40.00
However, we need to subtract the cost of making the 5 glasses Brad drank while sitting in his stand. The cost of making 5 glasses is 5 x $3.50 = $17.50.
So, the new total cost is $7.00 - $17.50 = -$10.50 (Note: This is a negative number because Brad drank the glasses for free, so he didn't incur the cost).
Now, let's calculate the net profit:
Net profit = Total revenue - Total cost
= $26.00 - (-$10.50)
= $26.00 + $10.50
= $36.50
However, we need to subtract the cost of making the 6 glasses Brad didn't sell. The cost of making 6 gl</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</si>
  <si>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</si>
  <si>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</si>
  <si>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To find out how much money Dorothy will have left after paying taxes, we need to calculate 18% of her income and subtract it from her total income.
First, let's calculate 18% of $60,000:
18% = 0.18
0.18 × $60,000 = $10,800
This means Dorothy will pay $10,800 in taxes.
Now, let's subtract the tax amount from her total income:
$60,000 - $10,800 = $49,200
So, after paying taxes, Dorothy will have $49,200 left.
####49200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</si>
  <si>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</si>
  <si>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</si>
  <si>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To find out how many calories Voldemort can still take, we need to calculate his total caloric intake for the day and subtract it from the daily limit.
First, let's calculate his total caloric intake for the day:
Dinner: 110 (cake) + 310 (chips) + 215 (coke) = 635 calories
Breakfast: 560 calories
Lunch: 780 calories
Total caloric intake for the day = 635 + 560 + 780 = 1975 calories
Now, let's subtract the total caloric intake from the daily limit:
Daily limit = 2500 calories
Calories left = 2500 - 1975 = 525 calories
So, Voldemort can still take 525 calories.
####525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</si>
  <si>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</si>
  <si>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</si>
  <si>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To find the original price of the shoes, we need to use the concept of percentage and the formula for finding the original price after a discount.
Let's denote the original price as 'x'.
Since the shoes were marked 75% off, it means that 25% of the original price is the price I paid ($51).
We can set up the equation as follows:
25% of x = $51
To find 25% of x, we can multiply x by 0.25 (since 25% = 25/100 = 0.25).
So, the equation becomes:
0.25x = $51
Now, we need to isolate x by dividing both sides of the equation by 0.25.
x = $51 / 0.25
x = $204
Therefore, the original price of the shoes was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</si>
  <si>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</si>
  <si>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</si>
  <si>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To find out how many hours James spends writing a week, we need to first find out how many pages he writes in a day, and then how many hours he spends writing in a day.
James writes 5 pages a day to 2 different people, so he writes a total of 5 x 2 = 10 pages a day.
Since James writes 10 pages an hour, he spends 10/10 = 1 hour a day writing.
There are 7 days in a week, so James spends 1 x 7 = 7 hours a week writing.
The final answer is: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</si>
  <si>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</si>
  <si>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</si>
  <si>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To find the width of the sandbox, we need to use the information given about the perimeter and the relationship between the length and the width.
Let's denote the width as 'w' and the length as '2w' (since the length is twice the width).
The formula for the perimeter of a rectangle is: Perimeter = 2(length + width)
Given that the perimeter is 30 feet, we can set up the equation:
30 = 2(2w + w)
Combine like terms inside the parentheses:
30 = 2(3w)
Now, distribute the 2:
30 = 6w
To find the value of 'w', divide both sides by 6:
w = 30 / 6
w = 5
So, the width of the sandbox is 5 feet.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</si>
  <si>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</si>
  <si>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</si>
  <si>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To find the total time the show plays songs, we need to first find the total time the show is on the air. Since the show is on for 3 hours a day, we need to convert this to minutes. 
3 hours * 60 minutes/hour = 180 minutes
Next, we need to find the total time the talking segments and ad breaks take up. 
Talking segments: 3 segments * 10 minutes/segment = 30 minutes
Ad breaks: 5 breaks * 5 minutes/break = 25 minutes
Total time for talking segments and ad breaks: 30 minutes + 25 minutes = 55 minutes
Now, we can find the time the show plays songs by subtracting the time for talking segments and ad breaks from the total time the show is on the air.
Time for songs: 180 minutes - 55 minutes = 125 minutes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</si>
  <si>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</si>
  <si>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</si>
  <si>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To find the maximum weight of the next person to get in the elevator, we need to subtract the total weight of the three adults and two children from the maximum weight limit of 600 pounds.
First, let's find the total weight of the three adults:
3 adults x 140 pounds/adult = 420 pounds
Next, let's find the total weight of the two children:
2 children x 64 pounds/child = 128 pounds
Now, let's subtract the total weight of the three adults and two children from the maximum weight limit:
600 pounds - 420 pounds - 128 pounds = 52 pounds
So, the maximum weight of the next person to get in the elevator is 52 pounds.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</si>
  <si>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</si>
  <si>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</si>
  <si>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To find the length of each piece, we need to follow the steps carefully.
1. Stefan cuts the rope into four equal parts. This means each part has a length of 200 / 4 = 50 meters.
2. Stefan gives his mother half of the cut pieces. Since he has 4 pieces, he gives her 2 pieces, and keeps 2 pieces for himself.
3. Stefan subdivides the remaining pieces into two more equal parts. This means each of the 2 pieces he kept is subdivided into 2 equal parts. So, each of the 2 pieces is now 50 / 2 = 25 meters long.
Therefore, the length of each piece is 25 meters.
####25</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</si>
  <si>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</si>
  <si>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</si>
  <si>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To find the number of cheese balls in a 35oz barrel, we need to first find the number of cheese balls in a 24oz barrel, and then multiply it by the ratio of the two barrels.
We are given that a 24oz barrel has 60 servings, and each serving has 12 cheese balls. So, the total number of cheese balls in a 24oz barrel is:
60 servings × 12 cheese balls/serving = 720 cheese balls
Now, we need to find the ratio of the 35oz barrel to the 24oz barrel. We can do this by dividing the volume of the 35oz barrel by the volume of the 24oz barrel:
35oz / 24oz = 1.458 (approximately)
This means that the 35oz barrel is approximately 1.458 times larger than the 24oz barrel.
Now, we can multiply the number of cheese balls in the 24oz barrel by this ratio to find the number of cheese balls in the 35oz barrel:
720 cheese balls × 1.458 = 1049.44 (approximately)
So, there are approximately 1049 cheese balls in a 35oz barrel.
####1049</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</si>
  <si>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</si>
  <si>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</si>
  <si>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To find the total amount of fuel needed, we need to calculate the fuel needed for the empty plane, the passengers, and the bags separately, and then add them together.
1. Fuel needed for the empty plane:
   The empty plane needs 20 gallons of fuel per mile. For a 400-mile trip, the fuel needed is:
   20 gallons/mile * 400 miles = 8000 gallons
2. Fuel needed for the passengers:
   There are 30 passengers and 5 flight crew, making a total of 35 people. Each person increases the fuel needed by 3 gallons per mile. For a 400-mile trip, the fuel needed is:
   35 people * 3 gallons/mile/person * 400 miles = 42000 gallons
3. Fuel needed for the bags:
   Each person brought 2 bags, and there are 35 people. So, the total number of bags is:
   35 people * 2 bags/person = 70 bags
   Each bag increases the fuel needed by 2 gallons per mile. For a 400-mile trip, the fuel needed is:
   70 bags * 2 gallons/mile/bag * 400 miles = 56000 gallons
4. Total fuel needed:
   Now, we add the fuel needed for the empty plane, the passengers, and the bags together:
   8000 gallons + 42000 gallons + 56000 gallons = 106000 gallons
Therefore, the plane needs 106000 gallons of fuel for a 400-mile trip.
####106000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</si>
  <si>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</si>
  <si>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</si>
  <si>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To find the total amount Celina spent, we need to calculate the cost of each item and then add them together.
1. The hoodie cost $80.
2. The flashlight was 20% of the hoodie's price, so it cost 0.2 x $80 = $16.
3. The boots cost $110, but due to a special promotion, Celina was able to buy them 10% cheaper. So, the boots cost 0.9 x $110 = $99.
Now, let's add the costs together:
$80 (hoodie) + $16 (flashlight) + $99 (boots) = $195
Therefore, Celina spent a total of $195 on the equipment.
####195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</si>
  <si>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</si>
  <si>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</si>
  <si>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Let's break down the problem step by step:
1. Maria has 2 potatoes. Since she wants to cut up six times as many carrots as potatoes, she will need 6 x 2 = 12 carrots.
2. Since she wants to cut up twice as many onions as carrots, she will need 2 x 12 = 24 onions.
3. Finally, since she wants to cut up 1/3 as many green beans as onions, she will need 1/3 x 24 = 8 green beans.
Therefore, Maria needs to cut 8 green beans.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</si>
  <si>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</si>
  <si>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</si>
  <si>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To find the number of kilograms of cherries Genevieve bought, we need to first find the total price of the cherries. Since Genevieve had $1600 and was $400 short, the total price of the cherries is $1600 + $400 = $2000.
Since the cherries cost $8 per kilogram, we can find the number of kilograms by dividing the total price by the cost per kilogram:
$2000 / $8 = 250 kilograms
So, Genevieve bought 250 kilograms of cherries.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</si>
  <si>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</si>
  <si>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</si>
  <si>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</si>
  <si>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</si>
  <si>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Let's break down the problem step by step:
Given the ratio of their ages is 4:3:7, we can represent their ages as 4x, 3x, and 7x, respectively.
The total age of the three siblings is 126, so we can set up the equation:
4x + 3x + 7x = 126
Combine like terms:
14x = 126
Divide by 14:
x = 9
Now that we know x, we can find the ages of Halima and Beckham:
Halima's age: 4x = 4(9) = 36
Beckham's age: 3x = 3(9) = 27
The age difference between Halima and Beckham is:
36 - 27 = 9
So, the age difference between Halima and Beckham is 9 years.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</si>
  <si>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</si>
  <si>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</si>
  <si>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To find the total number of puppies Yuri has, we need to add up the number of puppies he adopted each week.
Week 1: 20 puppies
Week 2: 2/5 * 20 = 8 puppies (since 2/5 times as many as the first week)
Week 3: 2 * 8 = 16 puppies (twice the number of puppies as the second week)
Week 4: 20 + 10 = 30 puppies (ten more than the first week)
Now, let's add up the number of puppies adopted each week:
20 + 8 + 16 + 30 = 74
So, Yuri has 74 puppies now.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</si>
  <si>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</si>
  <si>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</si>
  <si>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To find the total time spent biking in a week, we need to calculate the time spent biking to and from work for 5 days, and then add the time spent on the weekend bike ride.
First, let's calculate the distance traveled to and from work for 5 days:
20 miles (one way) x 2 (to and from work) = 40 miles per day
5 days x 40 miles per day = 200 miles
The time spent biking to and from work for 5 days is:
200 miles / 25 mph = 8 hours
Now, let's calculate the time spent on the weekend bike ride:
200 miles / 25 mph = 8 hours
The total time spent biking in a week is:
8 hours (to and from work) + 8 hours (weekend bike ride) = 16 hours
So, Tim spends 16 hours biking in a week.
####16</t>
  </si>
  <si>
    <t>The Dow Jones Industrial Average fell 2% today. The Dow ended the day at 8,722. What was the Dow in the morning before the markets opened?</t>
  </si>
  <si>
    <t>Today the Dow was down 8722 / 98*2 = &lt;&lt;8722/98*2=178&gt;&gt;178.
So it started at 8722 + 178 = &lt;&lt;8722+178=8900&gt;&gt;8900.
#### 8900</t>
  </si>
  <si>
    <t>Let's call the original value of the Dow "x".
Since the Dow fell 2%, we can set up the equation:
x - (2% of x) = 8722
To find 2% of x, we can multiply x by 0.02:
x - 0.02x = 8722
Now, let's simplify the equation by combining like terms:
0.98x = 8722
To solve for x, we can divide both sides by 0.98:
x = 8722 / 0.98
x = 8920
So, the Dow was at 8920 in the morning before the markets opened.
####8920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</si>
  <si>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</si>
  <si>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</si>
  <si>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To find the total amount of money John makes, we need to calculate the amount of money he generates in the first 12 hours and the remaining 14 hours, and then add them together.
For the first 12 hours, John generates $5000 per hour. So, the total amount of money he generates in the first 12 hours is:
$5000/hour * 12 hours = $60,000
For the remaining 14 hours, John generates 20% more per hour. This means he generates 120% of the original amount, or 1.2 times the original amount. So, the amount of money he generates per hour in the remaining 14 hours is:
$5000/hour * 1.2 = $6000/hour
The total amount of money he generates in the remaining 14 hours is:
$6000/hour * 14 hours = $84,000
Now, we add the total amount of money he generates in the first 12 hours and the remaining 14 hours to find the total amount of money he makes:
$60,000 + $84,000 = $144,000
So, John makes a total of $144,000.
####144000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</si>
  <si>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</si>
  <si>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</si>
  <si>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To find the number of customers who will go home without any fish, we need to determine how many customers Mr. Ray can serve with the tuna he has.
First, let's calculate the total amount of tuna Mr. Ray has:
10 tuna x 200 pounds/tuna = 2000 pounds of tuna
Since each customer wants 25 pounds of tuna, we can divide the total amount of tuna by 25 to find out how many customers Mr. Ray can serve:
2000 pounds / 25 pounds/customer = 80 customers
Since Mr. Ray has 100 customers waiting, we can subtract the number of customers he can serve from the total number of customers to find out how many will go home without any fish:
100 customers - 80 customers = 20 customers
So, 20 customers will go home without any fish.
####20</t>
  </si>
  <si>
    <t>Jack buys a squat rack for $2500.  The barbell cost 1/10 as much.  How much did he pay for everything?</t>
  </si>
  <si>
    <t>The barbell cost 2500/10=$&lt;&lt;2500/10=250&gt;&gt;250
So he paid 2500+250=$&lt;&lt;2500+250=2750&gt;&gt;2750 for everything
#### 2750</t>
  </si>
  <si>
    <t>To find the total cost, we need to add the cost of the squat rack to the cost of the barbell.
The barbell cost 1/10 as much as the squat rack, which means it cost 1/10 × $2500 = $250.
So, the total cost is $2500 (squat rack) + $250 (barbell) = $2750.
The final answer is: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</si>
  <si>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</si>
  <si>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</si>
  <si>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Let's break down the problem step by step:
1. Lana saw 100 cars in the front parking lot.
2. She saw two times more vehicles at the back than there were in the front parking lot, so the number of cars at the back is 2 x 100 = 200.
3. The total number of cars at the end of the play was 700, which means the number of cars that packed into the parking lot during the play is the difference between the total number of cars and the number of cars already present in the parking lot.
Number of cars already present in the parking lot = 100 (front) + 200 (back) = 300
Number of cars that packed into the parking lot during the play = 700 (total) - 300 (already present) = 400
So, 400 more cars packed into the parking lot during the play.
####400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</si>
  <si>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</si>
  <si>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</si>
  <si>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To find the amount of money Teagan will pay for buying 5 shirts and 10 leather jackets at the reduced prices, we need to first find the reduced prices of the shirts and the leather jackets.
The price of a shirt was $60, and it was reduced by 20%. To find the reduced price, we can use the formula:
Reduced price = Original price - (Original price x Reduction percentage)
For the shirt, the reduced price is:
Reduced price of shirt = $60 - ($60 x 0.20)
= $60 - $12
= $48
The price of a leather jacket was $90, and it was also reduced by 20%. To find the reduced price, we can use the same formula:
Reduced price of leather jacket = $90 - ($90 x 0.20)
= $90 - $18
= $72
Now that we have the reduced prices of the shirts and the leather jackets, we can calculate the amount of money Teagan will pay for buying 5 shirts and 10 leather jackets.
The total cost of 5 shirts at the reduced price is:
Total cost of shirts = 5 x Reduced price of shirt
= 5 x $48
= $240
The total cost of 10 leather jackets at the reduced price is:
Total cost of leather jackets = 10 x Reduced price of leather jacket
= 10 x $72
= $720
The total amount of money Teagan will pay for buying 5 shirts and 10 leather jackets at the reduced prices is:
Total amount = Total cost of shirts + Total cost of leather jackets
= $240 + $720
= $960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</si>
  <si>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</si>
  <si>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</si>
  <si>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To find out how many pounds Frank eats on average per day, we need to first calculate the total amount of money he spent on peanuts.
Frank has 7 one-dollar bills, 4 five-dollar bills, 2 ten-dollar bills, and 1 twenty-dollar bill. Let's calculate the total amount of money he has:
7 one-dollar bills = 7 x $1 = $7
4 five-dollar bills = 4 x $5 = $20
2 ten-dollar bills = 2 x $10 = $20
1 twenty-dollar bill = $20
Total amount of money = $7 + $20 + $20 + $20 = $67
Frank buys peanuts and has $4 in change, so the total amount he spent on peanuts is:
Total amount spent = Total amount of money - Change
= $67 - $4
= $63
Now, let's calculate the number of pounds of peanuts he bought:
Cost per pound = $3
Total amount spent = $63
Number of pounds = Total amount spent / Cost per pound
= $63 / $3
= 21 pounds
Since Frank plans to eat the peanuts in one week, which has 7 days, we can calculate the average number of pounds he eats per day:
Average pounds per day = Total pounds / Number of days
= 21 pounds / 7 days
= 3 pounds per day
The final answer is: ####3</t>
  </si>
  <si>
    <t>Amy's grandfather gave her $100 for her birthday. Amy bought 3 dolls, each of which cost $1. How much money does Amy have left?</t>
  </si>
  <si>
    <t>The cost of the dolls is 3 × $1 = $&lt;&lt;3*1=3&gt;&gt;3.
Amy has $100 − $3 = $97 left.
#### 97</t>
  </si>
  <si>
    <t>To find out how much money Amy has left, we need to subtract the cost of the dolls from the amount of money she received.
First, let's calculate the total cost of the dolls:
3 dolls × $1 per doll = $3
Now, let's subtract the cost of the dolls from the amount of money Amy received:
$100 - $3 = $97
So, Amy has $97 left.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</si>
  <si>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</si>
  <si>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</si>
  <si>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To find the selling price for each phone, we need to follow these steps:
1. Find the profit Ronald wants to make:
   Profit = 1/3 of the initial investment
   Profit = (1/3) * $3000
   Profit = $1000
2. Find the total amount Ronald wants to get (initial investment + profit):
   Total amount = Initial investment + Profit
   Total amount = $3000 + $1000
   Total amount = $4000
3. Find the selling price for each phone:
   Selling price per phone = Total amount / Number of phones
   Selling price per phone = $4000 / 200
   Selling price per phone = $20
Therefore, the selling price for each phone is $20.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</si>
  <si>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</si>
  <si>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</si>
  <si>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To find out how many more pages Cyrus needs to write, we need to calculate the total number of pages he has written so far and subtract that from the total number of pages he needs to write.
On the first day, Cyrus wrote 25 pages.
On the second day, he wrote twice that amount, which is 2 x 25 = 50 pages.
On the third day, he wrote twice the amount he did on the second day, which is 2 x 50 = 100 pages.
On the fourth day, he wrote 10 pages.
So, the total number of pages Cyrus has written so far is:
25 + 50 + 100 + 10 = 185 pages
To find out how many more pages he needs to write, we subtract the number of pages he has written so far from the total number of pages he needs to write:
500 - 185 = 315 pages
Therefore, Cyrus needs to write 315 more pages.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</si>
  <si>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</si>
  <si>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</si>
  <si>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Let's break it down step by step:
1. Sam runs a total of 12 miles.
2. Harvey runs 8 miles more than Sam, so Harvey runs 12 + 8 = 20 miles.
3. To find the total number of miles the two friends run together, we add the miles run by Sam and Harvey: 12 + 20 = 32 miles.
Therefore, the total number of miles the two friends run together is 32 miles.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</si>
  <si>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</si>
  <si>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</si>
  <si>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To find out how many more newspapers Miranda delivers than Jake in a month, we need to first find out how many newspapers they deliver in a month.
Since there are 4 weeks in a month, Jake delivers 234 * 4 = 936 newspapers in a month.
Miranda delivers twice as many newspapers as Jake, so Miranda delivers 2 * 234 = 468 newspapers in a week. In a month, Miranda delivers 468 * 4 = 1872 newspapers.
To find out how many more newspapers Miranda delivers than Jake in a month, we need to subtract the number of newspapers Jake delivers in a month from the number of newspapers Miranda delivers in a month.
1872 - 936 = 936
Therefore, Miranda delivers 936 more newspapers than Jake in a month.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</si>
  <si>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</si>
  <si>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</si>
  <si>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 xml:space="preserve">To find the number of lilies in each centerpiece, we need to first find the total number of flowers in each centerpiece, and then subtract the number of roses and orchids.
Let's start by finding the total number of flowers in each centerpiece. We know that each centerpiece uses 8 roses, and twice as many orchids as roses, so the number of orchids is 8 x 2 = 16.
The total number of flowers in each centerpiece is 8 (roses) + 16 (orchids) = 24 flowers.
Now, we need to find the total number of flowers in all 6 centerpieces. Since Martha wants to spend $2700 total, and each flower costs $15, we can set up the equation:
6 x (number of centerpieces) x (number of flowers per centerpiece) x $15 = $2700
We know that the number of flowers per centerpiece is 24, so we can substitute this value into the equation:
6 x 24 x $15 = $2700
Simplifying the equation, we get:
$720 = $2700
Now, we need to find the number of lilies in each centerpiece. We know that the total number of flowers in each centerpiece is 24, and the number of roses and orchids is 8 + 16 = 24. So, the number of lilies in each centerpiece is:
24 (total flowers) - 24 (roses and orchids) = 0 lilies
However, this is not possible, since Martha needs to put some lilies in each centerpiece. Let's try to find the number of lilies in each centerpiece by setting up an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(lilies) = 24 + x.
The total number of flowers in all 6 centerpieces is 6 x (24 + x).
We know that the total cost of all flowers is $2700, and each flower costs $15, so we can set up the equation:
6 x (24 + x) x $15 = $2700
Simplifying the equation, we get:
$180 x (24 + x) = $2700
Dividing both sides by $180, we get:
24 + x = 15
Subtracting 24 from both sides, we get:
x = -9
However, this is not possible, since the number of lilies cannot be negative. Let's try to find the number of lilies in each centerpiece by setting up another equation.
Let x be the number of lilies in each centerpiece. Then, the total number of flowers in each centerpiece is 8 (roses) + 16 (orchids) + x </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</si>
  <si>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</si>
  <si>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</si>
  <si>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To find the total distance walked by Robin, we need to break down his journey into two parts: the first part where he walks to the city center and back to his house, and the second part where he walks from his house to the city center.
Part 1: Robin walks 200 meters towards the city center and then returns to his house. This means he walks 200 meters to the city center and 200 meters back to his house, for a total of 400 meters.
Part 2: After returning to his house, Robin then walks the entire distance to the city center, which is 500 meters.
To find the total distance walked, we add the distance walked in Part 1 (400 meters) to the distance walked in Part 2 (500 meters).
Total distance = 400 + 500 = 900 meters
Therefore, Robin walks a total of 900 meters.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</si>
  <si>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</si>
  <si>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</si>
  <si>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To find the total amount spent by the trio, we need to add the prices of their dishes and then calculate the 10% tip.
The total amount spent by the trio is $10 + $13 + $17 = $40.
To calculate the 10% tip, we multiply the total amount spent by 0.10 (which is the same as 10%):
$40 × 0.10 = $4
So, the waiter should receive a gratuity of $4.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</si>
  <si>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</si>
  <si>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</si>
  <si>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To find the amount of charcoal Jason needs to add, we need to determine how many 30 ml units of water are in 900 ml.
900 ml / 30 ml = 30
This means that Jason needs to add charcoal for 30 units of 30 ml of water. Since he needs 2 grams of charcoal for each 30 ml of water, we multiply the number of units by the amount of charcoal needed per unit:
30 units * 2 grams/unit = 60 grams
Therefore, Jason needs to add 60 grams of charcoal.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</si>
  <si>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</si>
  <si>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</si>
  <si>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To solve this problem, we need to calculate the total time it takes Kate to fill all the balloons.
First, let's calculate the total amount of air needed to fill all the balloons:
52 balloons x 5 gallons/balloon = 260 gallons
Now, let's break down the problem into three parts:
**Part 1: First 10 minutes**
Kate fills the balloons at a rate of 8 gallons/minute. In 10 minutes, she fills:
8 gallons/minute x 10 minutes = 80 gallons
**Part 2: Next 5 minutes**
Kate fills the balloons at half the rate of 8 gallons/minute, which is 4 gallons/minute. In 5 minutes, she fills:
4 gallons/minute x 5 minutes = 20 gallons
**Part 3: Rest of the balloons**
Kate fills the rest of the balloons at a rate of 2 gallons/minute. We need to find out how many gallons are left to fill:
260 gallons (total) - 80 gallons (Part 1) - 20 gallons (Part 2) = 160 gallons
Now, let's calculate the time it takes to fill the rest of the balloons:
160 gallons / 2 gallons/minute = 80 minutes
Adding up the time for all three parts, we get:
10 minutes (Part 1) + 5 minutes (Part 2) + 80 minutes (Part 3) = 95 minutes
Therefore, it will take Kate 95 minutes to fill all the balloons.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</si>
  <si>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</si>
  <si>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</si>
  <si>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Let's break down the information given:
1. James has 20 pairs of red socks. Since a pair consists of 2 socks, he has 20 x 2 = 40 red socks.
2. He has half as many black socks as red socks. So, he has 20/2 = 10 pairs of black socks, which is 10 x 2 = 20 black socks.
3. He has twice as many white socks as red and black socks combined. The total number of red and black socks is 40 + 20 = 60. So, he has 60 x 2 = 120 white socks.
To find the total number of socks, we add the number of red, black, and white socks:
40 (red) + 20 (black) + 120 (white) = 180
Therefore, James has a total of 180 socks.
####180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</si>
  <si>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</si>
  <si>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</si>
  <si>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To find the total combined rainfall, we need to calculate the rainfall for each day and then add them up.
On Monday, it rained for 7 hours at a rate of 1 inch per hour, so the total rainfall on Monday is:
7 hours x 1 inch/hour = 7 inches
On Tuesday, it rained for 4 hours at a rate of 2 inches per hour, so the total rainfall on Tuesday is:
4 hours x 2 inches/hour = 8 inches
On Wednesday, it rained for 2 hours at a rate of twice that of the previous day, which means it rained at a rate of 4 inches per hour (2 x 2 = 4). So, the total rainfall on Wednesday is:
2 hours x 4 inches/hour = 8 inches
Now, let's add up the rainfall for each day:
7 inches (Monday) + 8 inches (Tuesday) + 8 inches (Wednesday) = 23 inches
Therefore, the total combined rainfall for these three days is 23 inches.
####23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</si>
  <si>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</si>
  <si>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</si>
  <si>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To find the total amount of money taken by the sky diving company, we need to add the individual bookings and group bookings, and then subtract the amount that had to be returned.
Individual bookings: $12,000
Group bookings: $16,000
Total bookings: $12,000 + $16,000 = $28,000
Amount returned: $1,600
Total amount taken: $28,000 - $1,600 = $26,400
Therefore, the sky diving company has taken a total of $26,400.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</si>
  <si>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</si>
  <si>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</si>
  <si>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Let's break down the problem step by step:
1. Total number of pages in both books = 180 + 100 = 280 pages
2. Yasna wants to finish both books in 2 weeks, which is equal to 14 days.
3. To find out how many pages Yasna needs to read each day, we divide the total number of pages by the number of days: 280 pages / 14 days = 20 pages per day.
So, Yasna needs to read 20 pages every day.
####20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</si>
  <si>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</si>
  <si>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</si>
  <si>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To find the distance driven by Joseph, we multiply his speed by the time he drove:
Distance = Speed x Time
Distance = 50 mph x 2.5 hours
Distance = 125 miles
To find the distance driven by Kyle, we multiply his speed by the time he drove:
Distance = Speed x Time
Distance = 62 mph x 2 hours
Distance = 124 miles
Now, we need to find the difference between the distances driven by Joseph and Kyle:
Difference = Distance driven by Joseph - Distance driven by Kyle
Difference = 125 miles - 124 miles
Difference = 1 mile
The final answer is: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</si>
  <si>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</si>
  <si>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</si>
  <si>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To find the number of hours Claire spent crafting, we need to first find the total number of hours she spent on cleaning, cooking, and sleeping.
She spent 4 hours cleaning and 2 hours cooking, so the total time spent on these activities is 4 + 2 = 6 hours.
She also spent 8 hours sleeping.
So, the total time spent on these activities is 6 + 8 = 14 hours.
Since she divides the rest of her working day equally between crafting and tailoring, we can find the time spent on crafting by subtracting the time spent on cleaning, cooking, and sleeping from the total number of hours in a day.
Assuming a day has 24 hours, the time spent on crafting is (24 - 14) / 2 = 5 hours.
Therefore, Claire spent 5 hours crafting.</t>
  </si>
  <si>
    <t>Josette bought 3 bottles of mineral water for €1.50. How much will four bottles cost?</t>
  </si>
  <si>
    <t>A bottle costs 1.50 € / 3 = &lt;&lt;1.50/3=0.50&gt;&gt;0.50 €.
So, four bottles cost 0.50 € * 4 = &lt;&lt;0.50*4=2&gt;&gt;2 €.
#### 2</t>
  </si>
  <si>
    <t>To find the cost of 4 bottles, we need to first find the cost of 1 bottle.
Cost of 3 bottles = €1.50
Cost of 1 bottle = €1.50 / 3 = €0.50
Now, we can find the cost of 4 bottles:
Cost of 4 bottles = €0.50 * 4 = €2.00
So, four bottles will cost €2.00.
####2.00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</si>
  <si>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</si>
  <si>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</si>
  <si>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To find the total amount of money the boss spends paying all the employees every month, we need to calculate the total number of hours worked by all employees in a month and multiply it by the hourly wage.
First, let's find the total number of hours worked by all employees in a week:
Fiona worked 40 hours, John worked 30 hours, and Jeremy worked 25 hours.
Total hours worked in a week = 40 + 30 + 25 = 95 hours
Since there are 4 weeks in a month, the total number of hours worked by all employees in a month is:
Total hours worked in a month = 95 hours/week * 4 weeks/month = 380 hours/month
Now, let's multiply the total number of hours worked in a month by the hourly wage:
Total amount paid in a month = 380 hours/month * $20/hour = $7600
Therefore, the boss spends $7600 every month paying all the employees.
####7600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</si>
  <si>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</si>
  <si>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</si>
  <si>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To find out how much money Julia has left, we need to follow the steps:
1. Julia spends half of her money on a new game, so she has:
$40 - (1/2)($40) = $40 - $20 = $20
left.
2. She spends a quarter of what she has left on in-game purchases, so she has:
$20 - (1/4)($20) = $20 - $5 = $15
left.
Therefore, Julia has $15 left.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</si>
  <si>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</si>
  <si>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</si>
  <si>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To find out how many of each kind of tree will be planted, we need to follow these steps:
1. Determine the total number of trees to be planted. Since there are 18 streets and a tree will be planted on every street, the total number of trees will be equal to the number of streets.
2. Since every other tree will be a fruit tree, we can divide the total number of trees by 2 to find out how many fruit trees will be planted.
3. Since the association agreed to plant equal numbers of plum, pear, and apricot trees, we can divide the number of fruit trees by 3 to find out how many of each kind of tree will be planted.
Step 1: Total number of trees = 18
Step 2: Number of fruit trees = Total number of trees / 2
= 18 / 2
= 9
Step 3: Number of each kind of tree = Number of fruit trees / 3
= 9 / 3
= 3
So, the neighborhood association will plant 3 plum trees, 3 pear trees, and 3 apricot trees.</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</si>
  <si>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</si>
  <si>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</si>
  <si>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Let's break down the problem step by step:
1. Becky starts with 50 necklaces.
2. She throws out 3 necklaces, so she is left with:
50 - 3 = 47 necklaces
3. She buys 5 new necklaces, so she now has:
47 + 5 = 52 necklaces
4. She gives 15 of her old necklaces to her friends, so she is left with:
52 - 15 = 37 necklaces
Therefore, Becky now owns 37 necklaces.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</si>
  <si>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</si>
  <si>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</si>
  <si>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To find the total distance traveled by the Frisbees, we need to calculate the distance traveled by Bess and Holly separately and then add them together.
Bess throws the Frisbee 4 times, each time throwing it 20 meters. Since she throws it back to her original position, the total distance traveled by Bess's Frisbee is 4 x 20 = 80 meters.
Holly throws the Frisbee 5 times, each time throwing it 8 meters. Since she leaves it where it lands, the total distance traveled by Holly's Frisbee is 5 x 8 = 40 meters.
The total distance traveled by both Frisbees is 80 + 40 = 120 meters.
Therefore, the total distance traveled by the thrown Frisbees is 120 meters.
####120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</si>
  <si>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</si>
  <si>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</si>
  <si>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Let's break down the information given:
1. Total flowers = 96
2. Green flowers = 9
3. Red flowers = 3 times more than green flowers = 3 * 9 = 27
4. Blue flowers = 50% of total flowers = 0.5 * 96 = 48
Now, let's find the number of yellow flowers:
Total flowers = Green flowers + Red flowers + Blue flowers + Yellow flowers
96 = 9 + 27 + 48 + Yellow flowers
96 = 84 + Yellow flowers
Yellow flowers = 96 - 84
Yellow flowers = 12
####12</t>
  </si>
  <si>
    <t>Billy weighs 9 pounds more than Brad. Brad weighs 5 pounds more than Carl. If Carl weighs 145 pounds, how much does Billy weigh, in pounds?</t>
  </si>
  <si>
    <t>Brad weighs 145+5=&lt;&lt;145+5=150&gt;&gt;150 pounds.
Billy weighs 150+9=&lt;&lt;150+9=159&gt;&gt;159 pounds.
#### 159</t>
  </si>
  <si>
    <t>Let's break down the information:
1. Carl weighs 145 pounds.
2. Brad weighs 5 pounds more than Carl, so Brad weighs 145 + 5 = 150 pounds.
3. Billy weighs 9 pounds more than Brad, so Billy weighs 150 + 9 = 159 pounds.
Therefore, Billy weighs 159 pounds.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</si>
  <si>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</si>
  <si>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</si>
  <si>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To find the total cost of the drinks, we need to multiply the cost of each drink by the number of drinks ordered and then add them up.
Cost of cappuccinos: 3 x $2 = $6
Cost of iced teas: 2 x $3 = $6
Cost of cafe lattes: 2 x $1.5 = $3
Cost of espressos: 2 x $1 = $2
Total cost of drinks: $6 + $6 + $3 + $2 = $17
Sandy pays with a $20 bill, so the change she receives is:
$20 - $17 = $3
The final answer is: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</si>
  <si>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</si>
  <si>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</si>
  <si>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To solve this problem, we need to first find John's speed.
We know that his normal trip is 150 miles and takes 3 hours. We can use the formula:
Speed = Distance / Time
Speed = 150 miles / 3 hours
Speed = 50 miles per hour
Now that we know John's speed, we can calculate the total distance he drove, including the 50 miles out of the way.
Total distance = 150 miles (normal trip) + 50 miles (out of the way) + 50 miles (getting back on track)
Total distance = 250 miles
We can now use the formula:
Time = Distance / Speed
Time = 250 miles / 50 miles per hour
Time = 5 hours
So, the trip took 5 hours.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</si>
  <si>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</si>
  <si>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</si>
  <si>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To find the profit made by each person, we need to calculate the difference between the selling price and the cost price of the cameras.
Maddox's profit per camera = Selling price - Cost price
= $28 - $20
= $8
Theo's profit per camera = Selling price - Cost price
= $23 - $20
= $3
Since both Maddox and Theo sold 3 cameras, we multiply the profit per camera by 3 to find the total profit.
Maddox's total profit = $8 x 3
= $24
Theo's total profit = $3 x 3
= $9
The difference in profit between Maddox and Theo = Maddox's total profit - Theo's total profit
= $24 - $9
= $15
Therefore, Maddox got $15 more profit from the sale of his cameras than Theo.
The final answer is: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</si>
  <si>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</si>
  <si>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</si>
  <si>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Let's break down the problem step by step:
1. Half of the oranges were ripe, so the number of ripe oranges is:
96 / 2 = 48
2. 1/4 of the ripe oranges were eaten, so the number of ripe oranges eaten is:
48 / 4 = 12
3. The remaining ripe oranges are:
48 - 12 = 36
4. 1/8 of the unripe oranges were eaten, so the number of unripe oranges eaten is:
96 / 8 = 12
5. The remaining unripe oranges are:
96 - 12 = 84
6. To find the total number of oranges left, we add the remaining ripe and unripe oranges:
36 + 84 = 120
However, this is not the total number of oranges eaten. To find the total number of oranges eaten, we add the number of ripe and unripe oranges eaten:
12 + 12 = 24
So, the total number of oranges left is:
96 - 24 = 72
####72</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</si>
  <si>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</si>
  <si>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</si>
  <si>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Let's break down the information:
1. Oliver has twice as many Monster Club cards as Alien Baseball cards. This means if he has x Alien Baseball cards, he has 2x Monster Club cards.
2. His Battle Gremlins card collection is the largest at 48 cards, which is three times the size of his Alien Baseball card collection. This means if he has x Alien Baseball cards, he has 3x Battle Gremlins cards.
From the second point, we know that 3x = 48, so x = 48/3 = 16. This means Oliver has 16 Alien Baseball cards.
From the first point, we know that Oliver has twice as many Monster Club cards as Alien Baseball cards, so he has 2x = 2(16) = 32 Monster Club cards.
Therefore, Oliver has 32 Monster Club cards.</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</si>
  <si>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</si>
  <si>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</si>
  <si>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To find the total number of days Mark has to wait, we need to add up the number of days he has to wait for each appointment and the number of days it takes for the vaccine to be fully effective.
First, we add the number of days for the first and second appointments:
4 days + 20 days = 24 days
Then, we need to convert the 2 weeks to days. Since there are 7 days in a week, we multiply 2 weeks by 7 days/week:
2 weeks × 7 days/week = 14 days
Now, we add the 24 days for the appointments and the 14 days for the vaccine to be fully effective:
24 days + 14 days = 38 days
So, Mark has to wait a total of 38 days.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</si>
  <si>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</si>
  <si>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</si>
  <si>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To find the total cost of Adam's purchases, we need to calculate the cost of the nuts and the cost of the dried fruits separately and then add them together.
Cost of nuts: 3 kg x $12/kg = $36
Cost of dried fruits: 2.5 kg x $8/kg = $20
Total cost = Cost of nuts + Cost of dried fruits
= $36 + $20
= $56
Therefore, Adam's purchases cost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</si>
  <si>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</si>
  <si>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</si>
  <si>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To find the total amount of money they received altogether, we need to calculate the total hours worked and then multiply it by the hourly wage.
Let's break down the hours worked each day:
Day 1: 10 hours
Day 2: 8 hours
Day 3: 15 hours
Total hours worked = 10 + 8 + 15 = 33 hours
Since there are 2 men, we need to multiply the total hours worked by 2 to get the total amount of money they received altogether.
Total amount = 33 hours * 2 men = 66 hours
Since each man is paid $10 per hour, we multiply the total hours worked by the hourly wage:
Total amount = 66 hours * $10/hour = $660
Therefore, the total amount of money they received altogether is $660.
####660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</si>
  <si>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</si>
  <si>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</si>
  <si>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Let's break down the problem step by step:
1. Amoli drove for 3 hours at 42 miles per hour, so she covered a distance of:
Distance = Speed × Time = 42 × 3 = 126 miles
2. Anayet drove for 2 hours at 61 miles per hour, so she covered a distance of:
Distance = Speed × Time = 61 × 2 = 122 miles
3. The total distance covered by both Amoli and Anayet is:
Total distance = 126 + 122 = 248 miles
4. Since they need to travel a total of 369 miles together, the distance they still need to travel is:
Remaining distance = Total distance - Distance covered = 369 - 248 = 121 miles
Therefore, they still need to travel 121 miles.</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</si>
  <si>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</si>
  <si>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</si>
  <si>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First, let's find out how many pigeons there are in total, including the chicks. Since each pigeon has 6 chicks, the total number of pigeons is 40 + (40 * 6) = 160.
Next, let's find out how many pigeons the peregrines eat. Since the peregrines eat 30% of the pigeons, we need to find 30% of 160. To do this, we multiply 160 by 0.3, which gives us 48.
Now, let's subtract the number of pigeons eaten by the peregrines from the total number of pigeons. 160 - 48 = 112.
The final answer is: ####112</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</si>
  <si>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</si>
  <si>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</si>
  <si>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Let's break down the problem step by step:
Ricciana's total distance = 24 feet
Ricciana's running distance = 20 feet
Ricciana's jumping distance = 4 feet
Margarita's jumping distance = 2 x Ricciana's jumping distance - 1
= 2 x 4 - 1
= 8 - 1
= 7 feet
Margarita's total distance = running distance + jumping distance
= 18 + 7
= 25 feet
Now, let's find the difference between Margarita's total distance and Ricciana's total distance:
Difference = Margarita's total distance - Ricciana's total distance
= 25 - 24
= 1 foot
So, Margarita ran and jumped 1 foot farther than Ricciana.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</si>
  <si>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</si>
  <si>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</si>
  <si>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Let's break down the information:
1. Samantha found four times the amount of items than Tanya, and Tanya found 4 items. So, Samantha found 4 x 4 = 16 items.
2. Lewis found 4 more items than Samantha, and Samantha found 16 items. So, Lewis found 16 + 4 = 20 items.
Therefore, Lewis found 20 items.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</si>
  <si>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</si>
  <si>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</si>
  <si>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To find the area of the lawn, we need to multiply the length and width of the lawn.
Length = 36 feet
Width = 22 feet
Area = Length x Width
Area = 36 x 22
Area = 792 square feet
Since one bag of grass seed covers 250 square feet, four bags will cover 4 x 250 = 1000 square feet.
To find the leftover area, we need to subtract the area of the lawn from the total area covered by the seed.
Leftover area = Total area covered by seed - Area of the lawn
Leftover area = 1000 - 792
Leftover area = 208 square feet
The final answer is: ####208</t>
  </si>
  <si>
    <t>There are 350 trees in the park, 70% of which are pine trees. How many are not pine trees?</t>
  </si>
  <si>
    <t>There are 350 x 70/100 = &lt;&lt;350*70/100=245&gt;&gt;245 pine trees.
Therefore, 350 - 245 = &lt;&lt;350-245=105&gt;&gt;105 trees are not pine trees.
#### 105</t>
  </si>
  <si>
    <t>To find the number of pine trees, we need to calculate 70% of 350.
70% of 350 = (70/100) * 350
= 0.7 * 350
= 245
So, there are 245 pine trees in the park.
To find the number of trees that are not pine trees, we subtract the number of pine trees from the total number of trees:
350 - 245 = 105
Therefore, there are 105 trees that are not pine trees.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</si>
  <si>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</si>
  <si>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</si>
  <si>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To find the distance traveled, we need to multiply the speed of the bus by the time it traveled.
Speed = 50 mph
Time = 42 minutes
First, we need to convert the time from minutes to hours. There are 60 minutes in an hour, so:
Time (in hours) = 42 minutes / 60 = 0.7 hours
Now, we can multiply the speed by the time to find the distance:
Distance = Speed x Time
= 50 mph x 0.7 hours
= 35 miles
The final answer is: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</si>
  <si>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</si>
  <si>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</si>
  <si>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To find out how many pages Bekah needs to read each day, we need to subtract the number of pages she has already read from the total number of pages and then divide the result by the number of days she has left.
First, let's subtract the number of pages she has already read from the total number of pages:
408 - 113 = 295
Now, let's divide the result by the number of days she has left:
295 ÷ 5 = 59
So, Bekah will need to read 59 pages each day for 5 days to complete her assignment.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</si>
  <si>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</si>
  <si>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</si>
  <si>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To find out how much gas Carl will need to spend, we need to calculate the total distance of the trip and then divide it by the miles per gallon for each type of driving.
First, let's calculate the total distance of the trip:
City miles: 60 miles (one way) x 2 = 120 miles (round trip)
Highway miles: 200 miles (one way) x 2 = 400 miles (round trip)
Total distance: 120 miles (city) + 400 miles (highway) = 520 miles
Now, let's calculate the amount of gas needed for each type of driving:
City miles: 120 miles / 30 miles/gallon = 4 gallons
Highway miles: 400 miles / 40 miles/gallon = 10 gallons
Total gas needed: 4 gallons (city) + 10 gallons (highway) = 14 gallons
Now, let's calculate the total cost of gas:
Total cost = Total gas needed x Cost per gallon
= 14 gallons x $3.00/gallon
= $42.00
Therefore, Carl will need to spend $42.00 on gas for his trip to the Grand Canyon.
####42</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</si>
  <si>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</si>
  <si>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</si>
  <si>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To find the total number of sequins, we need to calculate the number of sequins in each color and add them together.
For the blue sequins, Jane sews 6 rows of 8 sequins each, so the total number of blue sequins is:
6 x 8 = 48
For the purple sequins, Jane sews 5 rows of 12 sequins each, so the total number of purple sequins is:
5 x 12 = 60
For the green sequins, Jane sews 9 rows of 6 sequins each, so the total number of green sequins is:
9 x 6 = 54
Now, we add the total number of sequins of each color together:
48 + 60 + 54 = 162
Therefore, Jane adds a total of 162 sequins to her costume. 
####162</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</si>
  <si>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</si>
  <si>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</si>
  <si>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 find out how many oysters Bob can shuck in 2 hours, we need to first find out how many oysters he can shuck in 1 minute, and then multiply that by the number of minutes in 2 hours.
Since Bob can shuck 10 oysters in 5 minutes, we can find out how many oysters he can shuck in 1 minute by dividing 10 by 5:
10 oysters / 5 minutes = 2 oysters per minute
Now, we need to find out how many minutes are in 2 hours. There are 60 minutes in 1 hour, so there are 2 x 60 = 120 minutes in 2 hours.
Now, we can multiply the number of oysters Bob can shuck in 1 minute by the number of minutes in 2 hours:
2 oysters/minute x 120 minutes = 240 oysters
The answer is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</si>
  <si>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</si>
  <si>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</si>
  <si>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To find the total distance Tony will drive, we need to add the distances of all the errands.
Distance to get groceries = 10 miles
Distance to get a haircut = 15 miles
Distance to go to a doctor's appointment = 5 miles
Total distance = 10 + 15 + 5 = 30 miles
To find the halfway point, we need to divide the total distance by 2.
Halfway distance = Total distance / 2 = 30 / 2 = 15 miles
So, when Tony is halfway through driving around for his errands, he will have driven 15 miles.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</si>
  <si>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</si>
  <si>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</si>
  <si>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Let's break down the problem step by step:
1. The shelter received a total of 60 animals.
2. They got 20 more cats than dogs. This means that the number of cats is 20 more than the number of dogs.
Let's use variables to represent the number of dogs and cats:
D = number of dogs
C = number of cats
We know that C = D + 20 (since the number of cats is 20 more than the number of dogs).
We also know that the total number of animals is 60, so D + C = 60.
Substituting C = D + 20 into the equation D + C = 60, we get:
D + (D + 20) = 60
Combine like terms:
2D + 20 = 60
Subtract 20 from both sides:
2D = 40
Divide both sides by 2:
D = 20
Now that we know the number of dogs is 20, we can find the number of cats by substituting D = 20 into the equation C = D + 20:
C = 20 + 20
C = 40
So, the shelter took in 40 cats.
####40</t>
  </si>
  <si>
    <t>John goes to the store and pays with a 20 dollar bill.  He buys 3 sodas and gets $14 in change.  How much did each soda cost?</t>
  </si>
  <si>
    <t>He paid 20-14=$&lt;&lt;20-14=6&gt;&gt;6
So each soda cost 6/3=$&lt;&lt;6/3=2&gt;&gt;2
#### 2</t>
  </si>
  <si>
    <t>To find the cost of each soda, we need to first find the total cost of the sodas. 
We know that John paid with a $20 bill and got $14 in change. 
So, the total cost of the sodas is $20 - $14 = $6.
Since John bought 3 sodas, we can find the cost of each soda by dividing the total cost by 3.
Cost of each soda = Total cost / Number of sodas
= $6 / 3
= $2
Therefore, each soda cost $2.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</si>
  <si>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</si>
  <si>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</si>
  <si>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To find the total weight of the load, we need to calculate the weight of the crates and the cartons separately and then add them together.
Weight of 12 crates = 12 x 4 kg = 48 kg
Weight of 16 cartons = 16 x 3 kg = 48 kg
Total weight of the load = Weight of crates + Weight of cartons
= 48 kg + 48 kg
= 96 kg
Therefore, the load of 12 crates and 16 cartons of vegetables will weigh 96 kg.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</si>
  <si>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</si>
  <si>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</si>
  <si>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To find out how much Andrea spends on her pony in a year, we need to calculate the total cost for each expense and then add them up.
1. Renting the pasture:
   - Monthly rent: $500
   - Number of months in a year: 12
   - Total rent for a year: $500 * 12 = $6000
2. Food:
   - Daily cost: $10
   - Number of days in a year: 365
   - Total food cost for a year: $10 * 365 = $3650
3. Lessons:
   - Cost per lesson: $60
   - Number of lessons per week: 2
   - Number of weeks in a year: 52
   - Total cost for lessons in a year: $60 * 2 * 52 = $6240
Now, let's add up the total cost for each expense:
- Total cost for a year: $6000 (pasture) + $3650 (food) + $6240 (lessons) = $15890
The final answer is: ####15890</t>
  </si>
  <si>
    <t>The teachers divided the group of students into 3 groups of 8. But 2 students left early. How many remain?</t>
  </si>
  <si>
    <t>There were initially 3*8=&lt;&lt;3*8=24&gt;&gt;24.
Now there are 24-2=&lt;&lt;24-2=22&gt;&gt;22.
#### 22</t>
  </si>
  <si>
    <t>Let's break it down step by step:
1. The teachers divided the group of students into 3 groups of 8, so the total number of students is 3 x 8 = 24.
2. But 2 students left early, so we need to subtract 2 from the total number of students.
3. 24 - 2 = 22
So, 22 students remain.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</si>
  <si>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</si>
  <si>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</si>
  <si>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To find the number of children who were vaccinated, we need to find the number of adults first and then subtract that from the total number of people.
Step 1: Find the number of adults.
Number of adults = Total number of people * Percentage of adults
= 650 * 0.8
= 520
Step 2: Find the number of children.
Number of children = Total number of people - Number of adults
= 650 - 520
= 130
Therefore, 130 people who were vaccinated were children.</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</si>
  <si>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</si>
  <si>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</si>
  <si>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</si>
  <si>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</si>
  <si>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To find the total number of filled water balloons Max and Zach have, we need to calculate the number of water balloons each of them filled and then add them together.
Max fills up water balloons for 30 minutes at a rate of 2 water balloons every minute. So, Max fills up 2 * 30 = 60 water balloons.
Zach fills up water balloons for 40 minutes at a rate of 3 water balloons every minute. So, Zach fills up 3 * 40 = 120 water balloons.
Now, we add the number of water balloons Max and Zach filled together: 60 + 120 = 180.
However, we need to subtract the 10 water balloons that popped on the ground: 180 - 10 = 170.
Therefore, Max and Zach have 170 filled water balloons in total.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</si>
  <si>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</si>
  <si>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</si>
  <si>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To find the percentage of games Archibald has won, we need to divide the number of games he has won by the total number of games played, and then multiply by 100.
First, let's find the total number of games played:
Total games = Archibald's games + Brother's games
Total games = 12 + 18
Total games = 30
Now, let's find the percentage of games Archibald has won:
Percentage = (Archibald's games / Total games) * 100
Percentage = (12 / 30) * 100
Percentage = 0.4 * 100
Percentage = 40%
So, Archibald has won 40% of the games.</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</si>
  <si>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</si>
  <si>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</si>
  <si>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To find out how many decorations Mrs. Jackson gave to her neighbor, we need to subtract the number of decorations she used from the total number of decorations she had.
First, let's find the total number of decorations Mrs. Jackson had:
4 boxes x 15 decorations/box = 60 decorations
Since she used 35 decorations, we subtract this from the total number of decorations:
60 decorations - 35 decorations = 25 decorations
So, Mrs. Jackson gave 25 decorations to her neighbor.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</si>
  <si>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</si>
  <si>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</si>
  <si>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To find the price per ounce, we need to divide the cost of each box by its weight in ounces.
For the larger box:
Price per ounce = Cost / Weight
= $4.80 / 30 ounces
= $0.16 per ounce
For the smaller box:
Price per ounce = Cost / Weight
= $3.40 / 20 ounces
= $0.17 per ounce
Since $0.16 per ounce is less than $0.17 per ounce, the larger box is the better value.
To convert the price per ounce to cents, we multiply by 100:
$0.16 per ounce * 100 = 16 cents per ounce
So, the price per ounce in cents of the box with the better value is 16 cents.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</si>
  <si>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</si>
  <si>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</si>
  <si>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To find the cost of 1 chocolate bar, we need to first find the total cost of the gummy bears and chocolate chips.
The cost of 10 packs of gummy bears is 10 x $2 = $20.
The cost of 20 bags of chocolate chips is 20 x $5 = $100.
The total cost of the gummy bears and chocolate chips is $20 + $100 = $120.
Since the total rang up to $150, the cost of 10 chocolate bars is $150 - $120 = $30.
To find the cost of 1 chocolate bar, we divide the total cost of the chocolate bars by 10:
$30 ÷ 10 = $3.
Therefore, 1 chocolate bar costs $3.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</si>
  <si>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</si>
  <si>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</si>
  <si>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Let's break down the information given:
1. The jar of grape candy had 5 more pieces than the jar of banana candy.
2. The jar of peanut butter candy had 4 times as much candy as the jar of grape candy.
Let's start by finding the number of pieces in the grape jar. Since the banana jar had 43 pieces, the grape jar had 43 + 5 = 48 pieces.
Now, we know that the peanut butter jar had 4 times as much candy as the grape jar. So, the number of pieces in the peanut butter jar is 4 x 48 = 192.
Therefore, the peanut butter jar had 192 pieces of candy.
####192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</si>
  <si>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</si>
  <si>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</si>
  <si>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To find out how much change Clive will have, we need to calculate the total cost of the olives he needs and subtract that from the $10 he has.
First, let's find out how many jars of olives Clive needs to buy. Since each jar contains 20 olives and he needs 80 olives, he will need 4 jars (80 ÷ 20 = 4).
The cost of 4 jars of olives is 4 x $1.50 = $6.
Now, let's subtract the cost of the olives from the $10 Clive has: $10 - $6 = $4.
So, Clive will have $4 in change when he buys what he needs.
####4</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</si>
  <si>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</si>
  <si>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</si>
  <si>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To find the total number of fish, we need to calculate the number of fish at the tables with 2 fish and the table with 3 fish.
There are 32 tables, and 31 of them have 2 fish each. So, the total number of fish at these tables is:
31 tables * 2 fish/table = 62 fish
The remaining table has 3 fish. So, we add 3 to the total number of fish:
62 fish + 3 fish = 65 fish
Therefore, there are 65 fish in total.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</si>
  <si>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</si>
  <si>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</si>
  <si>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To find the number of Legos in the box at the end, we need to subtract the number of Legos James used from the total number of Legos, and then subtract the 5 missing pieces.
First, we find the number of Legos James used: 500 / 2 = 250
Then, we subtract the number of Legos James used from the total number of Legos: 500 - 250 = 250
Finally, we subtract the 5 missing pieces: 250 - 5 = 245
The number of Legos in the box at the end is 245.
####245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</si>
  <si>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</si>
  <si>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</si>
  <si>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To find the height of the cow manure plant, we need to follow the order of operations:
1. Find the height of the plant with bone meal:
   The plant with bone meal grows to 125% of the height of the control plant. 
   125% of 36 inches is 1.25 * 36 = 45 inches.
2. Find the height of the plant with cow manure:
   The cow manure plant grows to 200% of the height of the bone meal plant. 
   200% of 45 inches is 2 * 45 = 90 inches.
Therefore, the cow manure plant grows to 90 inches.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</si>
  <si>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</si>
  <si>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</si>
  <si>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There were 2 large pizzas, each cut into 12 slices. So, there were 2 x 12 = 24 slices in total.
Dean ate half of the Hawaiian pizza, which is 12 / 2 = 6 slices.
Frank ate 3 slices of Hawaiian pizza.
Sammy ate a third of the cheese pizza, which is 12 / 3 = 4 slices.
So, Dean, Frank, and Sammy ate a total of 6 + 3 + 4 = 13 slices.
There were 24 slices in total, and 13 slices were eaten. So, there were 24 - 13 = 11 slices left over.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</si>
  <si>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</si>
  <si>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</si>
  <si>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To find the number of tiles Kimiko needs, we need to calculate the total area of her kitchen floor and then divide it by the area of each tile.
First, let's calculate the total area of the kitchen floor:
Area = Length × Width
= 48 inches × 72 inches
= 3456 square inches
Next, let's calculate the area of each tile:
Area of each tile = 6 inches × 6 inches
= 36 square inches
Now, let's divide the total area of the kitchen floor by the area of each tile to find the number of tiles needed:
Number of tiles = Total area of kitchen floor ÷ Area of each tile
= 3456 square inches ÷ 36 square inches
= 96
So, Kimiko needs to buy 96 tiles to cover her kitchen floor.
####96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</si>
  <si>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</si>
  <si>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</si>
  <si>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To find the square footage of the bathroom, we need to first find the area in square inches and then convert it to square feet.
1. Find the area of the bathroom in square inches:
   Width = 10 tiles * 6 inches/tile = 60 inches
   Length = 20 tiles * 6 inches/tile = 120 inches
   Area = Width * Length = 60 inches * 120 inches = 7200 square inches
2. Convert the area from square inches to square feet:
   1 square foot = 12 inches * 12 inches = 144 square inches
   To convert square inches to square feet, divide the area in square inches by 144:
   Area in square feet = 7200 square inches / 144 square inches/square foot = 50 square feet
Therefore, the square footage of the bathroom is 50 square feet.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</si>
  <si>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</si>
  <si>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</si>
  <si>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To find out how much candy each person will have, we need to add up the total amount of candy they have and then divide it by the number of people.
Hugh had 8 pounds of candy, Tommy had 6 pounds of candy, and Melany had 7 pounds of candy.
Total amount of candy = 8 + 6 + 7 = 21 pounds
There are 3 people, so we divide the total amount of candy by 3:
21 pounds / 3 = 7 pounds
So each person will have 7 pounds of candy.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</si>
  <si>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</si>
  <si>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</si>
  <si>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Let's break down the problem step by step:
1. Shelly has 10 $10 bills, so the total value of these bills is:
10 x $10 = $100
2. Shelly has 4 fewer $5 bills than 10. This means she has 10 - 4 = 6 $5 bills.
   The total value of these bills is:
6 x $5 = $30
3. To find the total amount of money Shelly has, we add the value of the $10 bills and the $5 bills:
$100 + $30 = $130
So, Shelly has $130 in all.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</si>
  <si>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</si>
  <si>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</si>
  <si>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To find out how many jars James will need to buy, we need to calculate the total amount of honey he will have, and then divide that by the amount of honey each jar can hold.
First, let's calculate the total amount of honey James will have:
5 hives x 20 liters/hive = 100 liters
Since his friend is bringing his own jars for half the honey, James will need jars for half of 100 liters:
100 liters / 2 = 50 liters
Now, let's divide the amount of honey James will need jars for by the amount of honey each jar can hold:
50 liters / 0.5 liters/jar = 100 jars
So, James will need to buy 100 jars.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</si>
  <si>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</si>
  <si>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</si>
  <si>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To find out how much you can save per egg by buying a tray versus individual eggs, we need to first find the price per egg when buying individual eggs.
The price of a tray of eggs is $12, and it contains 30 eggs. So, the price per egg when buying a tray is $12 / 30 = $0.40 per egg.
The price per egg when buying individual eggs is 50 cents.
Now, let's find out how much you can save per egg by buying a tray versus individual eggs.
The price per egg when buying a tray is $0.40, and the price per egg when buying individual eggs is 50 cents. So, the amount you can save per egg by buying a tray is 50 cents - 40 cents = 10 cents.
The final answer is: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</si>
  <si>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</si>
  <si>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</si>
  <si>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Step 1: Megan initially bought a dozen eggs, which is 12 eggs.
Step 2: Her neighbor gave her another dozen eggs, so now she has 12 + 12 = 24 eggs.
Step 3: Megan used 2 eggs for an omelet and 4 eggs for a cake, so she used a total of 2 + 4 = 6 eggs.
Step 4: After using 6 eggs, Megan has 24 - 6 = 18 eggs left.
Step 5: Megan gave her aunt half of her remaining eggs, so she gave her 18 / 2 = 9 eggs.
Step 6: After giving her aunt 9 eggs, Megan has 18 - 9 = 9 eggs left.
Step 7: Megan wants to divide the remaining eggs equally for her next 3 meals, so she will have 9 / 3 = 3 eggs per meal.
The final answer is: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</si>
  <si>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</si>
  <si>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</si>
  <si>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</si>
  <si>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</si>
  <si>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To find out how many envelopes Cindy has left, we need to subtract the number of envelopes she gave away from the total number of envelopes she had.
Number of envelopes Cindy had initially: 37
Number of envelopes she gave away: 3 x 5 = 15
Now, let's subtract the number of envelopes she gave away from the initial number of envelopes:
37 - 15 = 22
So, Cindy has 22 envelopes left.
####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</si>
  <si>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</si>
  <si>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</si>
  <si>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Let's break it down step by step:
1. Wendy polished 50 small glasses.
2. She also polished 10 more large glasses than small glasses. This means she polished 10 + 50 = 60 large glasses.
3. To find the total number of glasses she polished, we add the number of small glasses and the number of large glasses: 50 + 60 = 110
So, Wendy polished 110 glasses in total.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</si>
  <si>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</si>
  <si>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</si>
  <si>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Let's break down the problem step by step:
1. Phil has 10 books, each with 100 pages.
2. Total number of pages Phil has initially = 10 books * 100 pages/book = 1000 pages
3. During the move, 2 books are lost.
4. Number of books Phil has left = 10 - 2 = 8 books
5. Total number of pages Phil has left = 8 books * 100 pages/book = 800 pages
Therefore, Phil has 800 pages worth of books left.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</si>
  <si>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</si>
  <si>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</si>
  <si>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Let's break this down step by step:
1. Bert bought 300 stamps.
2. Before the purchase, he had half the stamps he bought. This means he had 300 / 2 = 150 stamps before the purchase.
3. After the purchase, he has the stamps he bought (300) plus the stamps he already had (150). So, the total number of stamps Bert has after the purchase is 300 + 150 = 450.
Therefore, Bert has 450 stamps in total after the purchase.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</si>
  <si>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</si>
  <si>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</si>
  <si>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Let's break down the problem step by step:
1. The rent for the whole apartment is $1100, and the utilities are $114. To find the total monthly expenses, we add these two amounts:
$1100 (rent) + $114 (utilities) = $1214
2. Since the roommates split the expenses equally, we can divide the total monthly expenses by 2 to find the amount each roommate pays:
$1214 ÷ 2 = $607
3. One roommate pays $757, which is more than the $607 each roommate is supposed to pay. This means the roommate pays for their own share and also pays for the other roommate's share. To find the amount the roommate pays for their own share, we subtract their payment from the amount each roommate is supposed to pay:
$757 (roommate's payment) - $607 (each roommate's share) = $150
4. Since the roommate pays $150 more than their share, this amount must be the other roommate's share. To find the total amount the other roommate pays, we add this amount to the amount each roommate is supposed to pay:
$607 (each roommate's share) + $150 (other roommate's share) = $757
5. Now, we know that the total monthly expenses are $1214, and the roommate pays $757. To find the amount for groceries, we subtract the roommate's payment from the total monthly expenses:
$1214 (total monthly expenses) - $757 (roommate's payment) = $457
Therefore, the amount for groceries for the whole apartment is $457.
####457</t>
  </si>
  <si>
    <t>A whole pizza was cut into 8 slices. Angeli and Marlon ate 3/2 slices each. How many slices of pizza are left?</t>
  </si>
  <si>
    <t>Angeli and Marlon ate a total of 3/2 x 2 = &lt;&lt;3/2*2=3&gt;&gt;3 slices of pizza.
Thus, 8 - 3 = &lt;&lt;8-3=5&gt;&gt;5 slices of pizza are left.
#### 5</t>
  </si>
  <si>
    <t>To find out how many slices are left, we need to first find out how many slices Angeli and Marlon ate in total.
Angeli ate 3/2 slices, which is equal to 1.5 slices (since 3/2 = 1.5).
Marlon also ate 3/2 slices, which is equal to 1.5 slices (since 3/2 = 1.5).
So, together, they ate 1.5 + 1.5 = 3 slices.
Since the pizza was cut into 8 slices, we can subtract the number of slices they ate from the total number of slices to find out how many slices are left:
8 - 3 = 5
Therefore, there are 5 slices of pizza left.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</si>
  <si>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</si>
  <si>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</si>
  <si>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Let's break down the information:
* Soccer balls: 20
* Basketball balls: 20 + 5 = 25
* Tennis balls: 2 x 20 = 40
* Baseballs: 20 + 10 = 30
We know that the total number of balls is 145. Let's add up the number of balls we have so far:
20 (soccer) + 25 (basketball) + 40 (tennis) + 30 (baseball) = 115
We still need to account for 145 - 115 = 30 balls, which are volleyballs.
So, there were 30 volleyballs.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</si>
  <si>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</si>
  <si>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</si>
  <si>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Let's break down the problem step by step:
1. Let's represent the number of pencils Sabrina has as "S".
2. Since Justin has 8 more than twice as many pencils as Sabrina, we can represent the number of pencils Justin has as "2S + 8".
3. We know that Justin and Sabrina have 50 pencils combined, so we can set up the equation: S + (2S + 8) = 50
4. Combine like terms: 3S + 8 = 50
5. Subtract 8 from both sides: 3S = 42
6. Divide both sides by 3: S = 14
So, Sabrina has 14 pencils.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</si>
  <si>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</si>
  <si>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</si>
  <si>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To find Julia's change, we need to calculate the total cost of the items she bought and then subtract that from the amount she paid with.
The cost of 2 pieces of Snickers is 2 x $1.5 = $3.
Since a pack of M&amp;M's has the same cost as 2 Snickers, the cost of 1 pack of M&amp;M's is $3. Therefore, the cost of 3 packs of M&amp;M's is 3 x $3 = $9.
The total cost of the items Julia bought is $3 + $9 = $12.
Since Julia gave the cashier 2 $10 bills, she paid a total of 2 x $10 = $20.
To find Julia's change, we subtract the total cost of the items from the amount she paid: $20 - $12 = $8.
The final answer is: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</si>
  <si>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</si>
  <si>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</si>
  <si>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To find the total amount Mr. Zander paid for the construction materials, we need to calculate the cost of the cement and the cost of the sand separately and then add them together.
Cost of cement:
Number of bags of cement = 500
Price per bag = $10
Total cost of cement = Number of bags of cement * Price per bag
= 500 * $10
= $5000
Cost of sand:
Number of lorries of sand = 20
Each lorry carries 10 tons of sand, so total tons of sand = 20 * 10 = 200 tons
Price per ton = $40
Total cost of sand = Total tons of sand * Price per ton
= 200 * $40
= $8000
Total cost of construction materials = Cost of cement + Cost of sand
= $5000 + $8000
= $13000
Therefore, Mr. Zander paid $13000 for the construction materials.
####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</si>
  <si>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</si>
  <si>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</si>
  <si>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To find the remaining budget, we need to calculate the total amount spent on test tubes and safety gear, and then subtract that from the initial budget.
1. The cost of flasks: $150
2. The cost of test tubes: two-thirds of $150 is (2/3) * 150 = $100
3. The cost of safety gear: half of $100 is (1/2) * 100 = $50
4. Total amount spent on test tubes and safety gear: $100 + $50 = $150
5. Remaining budget: $325 - $150 = $175
So, the laboratory has $175 left in their budget.
####175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</si>
  <si>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</si>
  <si>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</si>
  <si>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Let's break it down step by step:
1. The courier received 80 packages yesterday.
2. Today, the courier received twice as many packages as yesterday, so the number of packages received today is 2 x 80 = 160.
3. To find the total number of packages to be delivered tomorrow, we need to add the number of packages received yesterday and today: 80 + 160 = 240.
So, the courier should deliver 240 packages tomorrow.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</si>
  <si>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</si>
  <si>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</si>
  <si>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Let's break down the problem step by step:
1. The area can hold the equivalent of 6 feet of rain. We need to convert this to inches, as the rain is measured in inches. 1 foot = 12 inches, so 6 feet = 6 x 12 = 72 inches.
2. The area can drain out the equivalent of 3 inches of rain per day.
3. On the first day, it rained 10 inches.
4. On the second day, it rained twice as much as the first day, which is 2 x 10 = 20 inches.
5. On the third day, it rained 50% more than the second day. To find 50% of 20 inches, we multiply 20 by 0.5, which gives 10 inches. So, on the third day, it rained 20 + 10 = 30 inches.
6. Now, let's calculate the total amount of rain that has fallen in the first three days: 10 + 20 + 30 = 60 inches.
7. The area can hold 72 inches of rain. We have already had 60 inches of rain, so the minimum amount it rained on the fourth day is 72 - 60 = 12 inches.
Therefore, the minimum amount it rained on the fourth day is 12 inches.
####12</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</si>
  <si>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</si>
  <si>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</si>
  <si>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To find the amount the husband needs to pay, we need to calculate the total amount the couple agreed to pay for the house help's medical expenses and the salary deduction.
The house help's medical expenses were $128, and the couple agreed to pay half of it. So, the couple's share of the medical expenses is $128 / 2 = $64.
The couple also agreed to deduct the other half of the medical expenses from the house help's salary. Since the house help's salary is $160, the deduction is $128 / 2 = $64.
The total amount the couple agreed to pay for the house help's medical expenses and the salary deduction is $64 (medical expenses) + $64 (salary deduction) = $128.
Since the husband paid for the entire half of the hospital bill, he has already paid $64. To split the expenses equally, he needs to pay the other half of the total amount, which is $128 - $64 = $64.
Therefore, the husband still needs to pay $64.
####64</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</si>
  <si>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</si>
  <si>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</si>
  <si>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To find out how much money Enrico was able to earn, we need to calculate the total weight of the roosters and multiply it by the price per kilogram.
Step 1: Calculate the total weight of the roosters.
Total weight = weight of 30-kilogram rooster + weight of 40-kilogram rooster
Total weight = 30 kg + 40 kg
Total weight = 70 kg
Step 2: Calculate the total amount of money earned by multiplying the total weight by the price per kilogram.
Price per kilogram = $0.50
Total amount earned = Total weight * Price per kilogram
Total amount earned = 70 kg * $0.50/kg
Total amount earned = $35
Therefore, Enrico was able to earn $35. 
####35</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</si>
  <si>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</si>
  <si>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</si>
  <si>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</si>
  <si>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</si>
  <si>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To find out how much gold Jim finds per hour, we need to calculate the total amount of gold he finds and then divide it by the number of hours he spends scuba diving.
First, let's calculate the total amount of gold Jim finds. He finds a treasure chest with 100 gold coins in it. He also finds 2 smaller bags that have half as much gold each. 
Since the smaller bags have half as much gold as the treasure chest, each smaller bag has 100 / 2 = 50 gold coins.
So, the total amount of gold Jim finds is:
100 (from the treasure chest) + 50 (from the first smaller bag) + 50 (from the second smaller bag) = 200 gold coins.
Now, let's divide the total amount of gold by the number of hours Jim spends scuba diving:
200 gold coins / 8 hours = 25 gold coins per hour.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</si>
  <si>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</si>
  <si>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</si>
  <si>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To make weak coffee, Taylor uses 1 tablespoon of coffee per cup of water. Since he makes 12 cups of weak coffee, he will need 12 * 1 = 12 tablespoons of coffee.
To make strong coffee, Taylor doubles the amount of coffee, so he uses 2 tablespoons of coffee per cup of water. Since he makes 12 cups of strong coffee, he will need 12 * 2 = 24 tablespoons of coffee.
In total, Taylor will need 12 + 24 = 36 tablespoons of coffee.
####36</t>
  </si>
  <si>
    <t>In 10 years, Terry will be 4 times the age that Nora is currently. If Nora is currently 10 years old, how old is Terry now?</t>
  </si>
  <si>
    <t>Terry will be 4*10=&lt;&lt;4*10=40&gt;&gt;40 years old in 10 years
Currently, Terry is 40-10 = &lt;&lt;40-10=30&gt;&gt;30 years old.
#### 30</t>
  </si>
  <si>
    <t>Let's break down the problem step by step:
1. Nora is currently 10 years old.
2. In 10 years, Nora will be 10 + 10 = 20 years old.
3. In 10 years, Terry will be 4 times the age that Nora is currently, which means Terry will be 4 x 10 = 40 years old in 10 years.
4. Since Terry will be 40 years old in 10 years, we need to subtract 10 from 40 to find Terry's current age: 40 - 10 = 30.
Therefore, Terry is currently 30 years old.
####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</si>
  <si>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</si>
  <si>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</si>
  <si>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Let's break down Aren's activities and their durations:
1. Reading: 2 hours
2. Watching movies: 4 hours
3. Eating dinner: 30 minutes = 0.5 hours
4. Listening to the radio: 40 minutes = 0.67 hours
5. Playing games: 1 hour 10 minutes = 1.17 hours
Total time spent on activities: 2 + 4 + 0.5 + 0.67 + 1.17 = 8.34 hours
Aren's flight is 11 hours 20 minutes long, which is equal to 11.33 hours.
Time left for a nap: 11.33 - 8.34 = 3.00 hours
#### 3.00</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</si>
  <si>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</si>
  <si>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</si>
  <si>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To find out how many chores Gerald needs to average per month, we need to follow these steps:
1. Calculate the total amount Gerald needs to save for his baseball supplies:
   Total amount = Monthly cost * Number of months
   Total amount = $100 * 4
   Total amount = $400
2. Since Gerald charges $10 per chore, we need to find out how many chores he needs to do in total to save $400:
   Total chores = Total amount / Charge per chore
   Total chores = $400 / $10
   Total chores = 40
3. Since Gerald's season is 4 months long, and he wants to save up during the months he's not playing baseball, we assume he has 8 months to save up (12 months in a year - 4 months of baseball season).
   Average chores per month = Total chores / Number of months to save
   Average chores per month = 40 / 8
   Average chores per month = 5
Therefore, Gerald needs to average 5 chores per month to save up for his baseball supplies.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</si>
  <si>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</si>
  <si>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</si>
  <si>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To find out how many miles Macy has left to run, we need to subtract the miles she has already run from her goal.
Macy's goal is 24 miles per week.
She runs 3 miles per day.
In 6 days, she will have run 3 x 6 = 18 miles.
To find out how many miles she has left to run, we subtract the miles she has already run from her goal:
24 (goal) - 18 (miles run) = 6
So, Macy has 6 miles left to run to meet her goal.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</si>
  <si>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</si>
  <si>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</si>
  <si>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To find the number of students who failed the exam, we need to first find the number of students who scored 100% and the number of students who scored over 80%.
Let's start by finding the number of students who scored 100%. We are given that 2/5 of the students scored 100%, so we can calculate this as follows:
Number of students who scored 100% = (2/5) × 80 = 32
Now, let's find the number of students who scored over 80%. We are given that 50% of the remaining students managed to score over 80%. First, we need to find the number of students who didn't score 100%. This is the total number of students minus the number of students who scored 100%:
Number of students who didn't score 100% = 80 - 32 = 48
Now, we can find the number of students who scored over 80%:
Number of students who scored over 80% = (50/100) × 48 = 24
Now, we need to find the number of students who failed the exam. We know that the students who scored 100% and the students who scored over 80% did not fail the exam. So, the number of students who failed the exam is the total number of students minus the number of students who scored 100% and the number of students who scored over 80%:
Number of students who failed the exam = 80 - 32 - 24 = 24
Therefore, the number of students who failed the exam is 24.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</si>
  <si>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</si>
  <si>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</si>
  <si>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To find the total number of pieces of fruit, we need to calculate the total number of oranges and nectarines separately and then add them together.
First, let's calculate the total number of oranges:
12 crates x 150 oranges/crate = 1800 oranges
Next, let's calculate the total number of nectarines:
16 boxes x 30 nectarines/box = 480 nectarines
Now, let's add the total number of oranges and nectarines together:
1800 oranges + 480 nectarines = 2280 pieces of fruit
So, there are 2280 pieces of fruit in the crates and the boxes in total.</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</si>
  <si>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</si>
  <si>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</si>
  <si>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To find out how long it will take Lee to save enough money to propose to Sierra, we need to follow these steps:
1. Calculate Lee's monthly salary: $60,000 per year / 12 months per year = $5,000 per month
2. Calculate the total amount Lee needs to save: 2 months' salary = 2 x $5,000 per month = $10,000
3. Calculate the number of months it will take Lee to save $10,000: $10,000 / $1,000 per month = 10 months
Therefore, it will take Lee 10 months to save enough money to propose to Sierra.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</si>
  <si>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</si>
  <si>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</si>
  <si>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To find the total number of records Jerry has, we need to calculate the total capacity of his shelves and then find 60% of that capacity.
Each case has 3 shelves that can hold 20 records each, so the total capacity of each case is 3 x 20 = 60 records.
Since Jerry has 4 cases, the total capacity of all his shelves is 4 x 60 = 240 records.
If his shelves are 60% full, then the number of records he has is 60% of 240, which is 0.6 x 240 = 144 records.
Since each record has 60 ridges, the total number of ridges on all his records is 144 x 60 = 8640 ridges.
####8640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</si>
  <si>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</si>
  <si>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</si>
  <si>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Let's break down the grooming time for each part:
1. Clipping nails: Nissa has 4 feet, and each foot has 4 claws, so she has a total of 4 x 4 = 16 claws. It takes 10 seconds to clip each claw, so the total time for clipping nails is 16 x 10 = 160 seconds.
2. Cleaning ears: It takes 90 seconds to clean each ear, and Nissa has 2 ears, so the total time for cleaning ears is 2 x 90 = 180 seconds.
3. Shampooing: It takes 5 minutes to shampoo the cat. Since there are 60 seconds in a minute, the total time for shampooing is 5 x 60 = 300 seconds.
Now, let's add up the total time for each part:
160 (clipping nails) + 180 (cleaning ears) + 300 (shampooing) = 640 seconds
Therefore, the total time it takes to groom the cat is 640 seconds.
####640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</si>
  <si>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</si>
  <si>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</si>
  <si>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Let's break down the points earned by each player:
1. Draymond earned 12 points.
2. Curry earned twice the points as Draymond, so Curry earned 2 x 12 = 24 points.
3. Kelly earned 9 points.
4. Durant earned twice the points as Kelly, so Durant earned 2 x 9 = 18 points.
5. Klay earned half the points as Draymond, so Klay earned 12 / 2 = 6 points.
Now, let's add up the points earned by each player to find the total points earned by the Golden State Team:
12 (Draymond) + 24 (Curry) + 9 (Kelly) + 18 (Durant) + 6 (Klay) = 69
The total points earned by the Golden State Team is 69.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</si>
  <si>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</si>
  <si>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</si>
  <si>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To find the total time it would take James to finish both puzzles, we need to follow these steps:
1. Calculate the total number of pieces in both puzzles:
   Total pieces = 2 puzzles * 2000 pieces/puzzle
   Total pieces = 4000 pieces
2. Calculate the number of pieces James can do in 1 minute:
   Pieces per 10 minutes = 100 pieces
   Pieces per minute = 100 pieces / 10 minutes
   Pieces per minute = 10 pieces/minute
3. Calculate the total time it would take James to finish both puzzles:
   Total time = Total pieces / Pieces per minute
   Total time = 4000 pieces / 10 pieces/minute
   Total time = 400 minutes
Since there are 60 minutes in an hour, we can convert the total time to hours and minutes:
   Total time = 400 minutes / 60 minutes/hour
   Total time = 6 hours and 40 minutes
However, since the problem does not specify whether the answer should be in hours and minutes or just minutes, we will provide the answer in minutes.
#### 400</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</si>
  <si>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</si>
  <si>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</si>
  <si>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Step 1: Calculate the total number of males in the three classes.
Total males = 17 + 14 + 15 = 46
Step 2: Calculate the total number of females in the three classes.
Total females = 13 + 18 + 17 = 48
Step 3: Determine the number of males who will be unable to partner with a female.
Since there are more females than males, the number of males who will be unable to partner with a female is equal to the difference between the total number of females and the total number of males.
Males unable to partner = Total females - Total males = 48 - 46 = 2
Step 4: Determine the number of females who will be unable to partner with a male.
Since there are more females than males, the number of females who will be unable to partner with a male is equal to the difference between the total number of females and the total number of males.
Females unable to partner = Total females - Total males = 48 - 46 = 2
Step 5: Calculate the total number of students who will be unable to partner with a student of the opposite gender.
Total unable to partner = Males unable to partner + Females unable to partner = 2 + 2 = 4
The final answer is: ####4</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</si>
  <si>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</si>
  <si>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</si>
  <si>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To find out how many pies they can make, we need to subtract the unripe apples from the total number of apples and then divide the result by the number of apples needed for each pie.
Total apples = 34
Unripe apples = 6
Ripe apples = 34 - 6 = 28
Number of apples needed for each pie = 4
Number of pies they can make = Ripe apples / Number of apples needed for each pie
= 28 / 4
= 7
So, Isabel and her mom can make 7 apple pies.</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</si>
  <si>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</si>
  <si>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</si>
  <si>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To find out how many aprons Heather needs to sew tomorrow, we need to first find out how many aprons she still needs to sew in total.
Heather already sewed 13 aprons, and today she sewed 3 times as many aprons, which is 3 * 13 = 39 aprons. So, in total, she sewed 13 + 39 = 52 aprons.
She needs to sew 150 aprons in total, so she still needs to sew 150 - 52 = 98 aprons.
If she wants to sew half of the remaining number of aprons needed, she needs to sew 98 / 2 = 49 aprons tomorrow.
The final answer is: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</si>
  <si>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</si>
  <si>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</si>
  <si>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To find the average height of the trees Jackie climbed, we need to find the total height of all the trees and then divide by the number of trees.
The first tree was 1000 feet tall.
The second tree was half as tall as the first tree, so it was 1000/2 = 500 feet tall.
The third tree was 200 feet taller than the first tree, so it was 1000 + 200 = 1200 feet tall.
The total height of all the trees is 1000 + 500 + 1200 = 2700 feet.
There were 3 trees in total.
To find the average height, we divide the total height by the number of trees: 2700 / 3 = 900 feet.
The final answer is: ####900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</si>
  <si>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</si>
  <si>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</si>
  <si>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Let's break down the problem step by step:
1. Michael uses half of his matchsticks, so he uses 30 houses * 10 matchsticks per house = 300 matchsticks.
2. Since he used half of his matchsticks, the total number of matchsticks he used is equal to twice the number of matchsticks he used to make the houses. 
3. So, 2 * 300 = 600 matchsticks.
4. Therefore, Michael had 600 matchsticks originally.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</si>
  <si>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</si>
  <si>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</si>
  <si>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Let's break down the problem step by step:
1. The boy has 12 oranges initially.
2. He gives one-third of 12 to his brother: 12 / 3 = 4 oranges. So, he gives 4 oranges to his brother.
3. Now, he has 12 - 4 = 8 oranges left.
4. He gives one-fourth of the remainder (8) to his friend: 8 / 4 = 2 oranges.
So, his friend gets 2 oranges.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</si>
  <si>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</si>
  <si>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</si>
  <si>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Let's break it down step by step:
Month 1: Alice saved 10 dollars.
Month 2: She saved 30 more dollars than the previous month, so she saved 10 + 30 = 40 dollars.
Month 3: She saved 30 more dollars than the previous month, so she saved 40 + 30 = 70 dollars.
To find the total amount saved by the end of the third month, we add the savings from each month:
10 (Month 1) + 40 (Month 2) + 70 (Month 3) = 120 dollars
So, by the end of the third month, Alice had saved a total of 120 dollars.
####120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</si>
  <si>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</si>
  <si>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</si>
  <si>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To find out how many tomatoes Thelma needs, we need to first find out how many slices she needs to make for the family of 8.
Since 20 slices make a meal for a single person, we can multiply 20 by 8 to find out how many slices the family needs:
20 slices/person × 8 people = 160 slices
Since each tomato is cut into 8 slices, we can divide the total number of slices needed by 8 to find out how many tomatoes Thelma needs:
160 slices ÷ 8 slices/tomato = 20 tomatoes
Therefore, Thelma needs 20 tomatoes to make enough fried green tomatoes to feed a family of 8 for a single meal.
####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</si>
  <si>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</si>
  <si>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</si>
  <si>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To find the number of tabs remaining open, we need to follow the sequence of tab closures.
Initially, Jose had 400 tabs open.
1. He closed 1/4 of the tabs, so the number of tabs remaining after this closure is:
   400 - (1/4 * 400) = 400 - 100 = 300 tabs
2. Then, he closed 2/5 of the remaining 300 tabs, so the number of tabs remaining after this closure is:
   300 - (2/5 * 300) = 300 - 120 = 180 tabs
3. Finally, he closed half of the remaining 180 tabs, so the number of tabs remaining after this closure is:
   180 - (1/2 * 180) = 180 - 90 = 90 tabs
Therefore, Jose had 90 tabs remaining open.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</si>
  <si>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</si>
  <si>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</si>
  <si>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To find the total number of pairs of leggings Haleigh needs, we need to calculate the total number of animals she has and then multiply by 2 (since each animal needs a pair of leggings).
Number of dogs: 4
Number of cats: 3
Total number of animals: 4 + 3 = 7
Since each animal needs a pair of leggings, we multiply the total number of animals by 2:
7 x 2 = 14
So, Haleigh needs 14 pairs of leggings for her pet animals.
####14</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</si>
  <si>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</si>
  <si>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</si>
  <si>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Let's break down the problem step by step:
1. Five months ago, Mike earned 10 times more money than Fred. Let's denote Fred's salary five months ago as F. Then, Mike's salary five months ago was 10F.
2. We know that Fred's salary now is $1000. Since five months have passed, we need to find the increase in Fred's salary. Let's denote the increase in Fred's salary as I. Then, the current salary of Fred is F + I = $1000.
3. We can find the increase in Fred's salary by subtracting his current salary from his salary five months ago: I = F - $1000.
4. We know that Mike's salary five months ago was 10F. Now, his salary is 40% higher than his salary five months ago. Let's denote Mike's salary now as M. Then, M = 1.4(10F).
5. We can substitute the expression for F from step 2 into the equation for M: M = 1.4(10(F - $1000)).
6. Simplifying the equation, we get: M = 14F - $14000.
7. We can substitute the expression for F from step 2 into the equation for M: M = 14($1000) - $14000.
8. Simplifying the equation, we get: M = $14000 - $14000 = $0.
However, this is not the correct answer. We need to find the correct value of F.
9. We know that Fred's salary now is $1000, and his salary five months ago was F. We can find the increase in Fred's salary by subtracting his current salary from his salary five months ago: I = F - $1000.
10. We can set up an equation using the fact that the increase in Fred's salary is 40% of his salary five months ago: 0.4F = I.
11. Substituting the expression for I from step 9 into the equation from step 10, we get: 0.4F = F - $1000.
12. Simplifying the equation, we get: 0.6F = $1000.
13. Solving for F, we get: F = $1000 / 0.6 = $1666.67.
14. Now, we can find Mike's salary now by substituting the value of F into the equation for M: M = 14F - $14000.
15. Substituting the value of F, we get: M = 14($1666.67) - $14000.
16. Simplifying the equation, we get: M = $23333.33 - $14000 = $9333.33.
####9333.33</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</si>
  <si>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</si>
  <si>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</si>
  <si>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 Step 1: Determine the points of the winning team at the end of the first quarter.
Let's denote the points of the winning team at the end of the first quarter as W1 and the points of the losing team as L1. We are given that W1 = 2*L1.
## Step 2: Calculate the points of the winning team at the end of the first quarter.
Given that the losing team had 10 points in the first quarter, we can substitute L1 = 10 into the equation from step 1 to get W1 = 2*10 = 20.
## Step 3: Determine the points of the winning team at the end of the second quarter.
We are given that the winning team had 10 more points than it started with at the end of the second quarter. So, W2 = W1 + 10.
## Step 4: Calculate the points of the winning team at the end of the second quarter.
Substituting W1 = 20 into the equation from step 3, we get W2 = 20 + 10 = 30.
## Step 5: Determine the points of the winning team at the end of the third quarter.
We are given that the winning team had 20 more points than the number it had in the second quarter at the end of the third quarter. So, W3 = W2 + 20.
## Step 6: Calculate the points of the winning team at the end of the third quarter.
Substituting W2 = 30 into the equation from step 5, we get W3 = 30 + 20 = 50.
## Step 7: Calculate the points of the winning team in the fourth quarter.
We are given that the total points the winning team scored in the game was 80. So, the points of the winning team in the fourth quarter is W4 = 80 - W3.
## Step 8: Calculate the points of the winning team in the fourth quarter.
Substituting W3 = 50 into the equation from step 7, we get W4 = 80 - 50 = 30.
## Step 9: Calculate the total number of points the team scored in the fourth quarter.
The total number of points the team scored in the fourth quarter is W4.
The final answer is: ####30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</si>
  <si>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</si>
  <si>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</si>
  <si>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Let's break down the problem step by step:
1. Hannah can cut 8 strands per minute, and her son can cut 3 strands per minute. So, together, they can cut 8 + 3 = 11 strands per minute.
2. There are 22 strands of duct tape holding the younger son to the chair.
3. To find out how long it will take them to cut all 22 strands, we need to divide the total number of strands (22) by the number of strands they can cut per minute (11).
Time = Total strands / Strands cut per minute
Time = 22 / 11
Time = 2 minutes
Therefore, it will take Hannah and her son 2 minutes to free her younger son.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</si>
  <si>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</si>
  <si>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</si>
  <si>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Let's break down Mitch's earnings:
Monday to Friday: 5 hours/day × 5 days = 25 hours
Earnings from Monday to Friday: 25 hours × $3/hour = $75
Saturday and Sunday: 3 hours/day × 2 days = 6 hours
Earnings from Saturday and Sunday: 6 hours × $6/hour (double the regular rate) = $36
Total weekly earnings: $75 + $36 = $111
####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</si>
  <si>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</si>
  <si>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</si>
  <si>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Let's break down the problem step by step:
1. The chef has 60 eggs initially.
2. He puts 10 eggs in the fridge, so the number of eggs left is:
60 - 10 = 50 eggs
3. The chef uses the remaining 50 eggs to make cakes.
4. He uses 5 eggs to make one cake, so the number of cakes he can make is:
50 ÷ 5 = 10 cakes
Therefore, the chef made 10 cakes.</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</si>
  <si>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</si>
  <si>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</si>
  <si>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Let's break down the problem step by step:
1. Maddy needs 120 credits to graduate.
2. Each class is 3 credits, so the total number of classes she needs to take is 120 / 3 = 40 classes.
3. Since she needs to take these classes over 8 semesters, we need to divide the total number of classes by the number of semesters: 40 classes / 8 semesters = 5 classes per semester.
So, Maddy needs to take 5 classes per semester.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</si>
  <si>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</si>
  <si>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</si>
  <si>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To find out how much money Ben will have left after these expenses, we need to calculate the total amount he will spend on each category and subtract that from the total bonus amount.
First, let's calculate the amount he will spend on each category:
1. Kitchen: 1/22 of $1496 = $68
2. Holidays: 1/4 of $1496 = $374
3. Christmas gifts: 1/8 of $1496 = $187
Now, let's add up the total amount he will spend on these categories:
$68 + $374 + $187 = $629
Now, let's subtract this amount from the total bonus amount:
$1496 - $629 = $867
So, Ben will have $867 left after these expenses.
####867</t>
  </si>
  <si>
    <t>John buys 20 candy bars.  His brother Dave pays for 6 of them.  If each candy bar costs $1.50, how much did John pay?</t>
  </si>
  <si>
    <t>He paid for 20-6=&lt;&lt;20-6=14&gt;&gt;14 candy bars
So he paid 14*1.5=$&lt;&lt;14*1.5=21&gt;&gt;21
#### 21</t>
  </si>
  <si>
    <t>Let's break down the problem step by step:
1. John buys 20 candy bars.
2. Dave pays for 6 of them, so John is left with 20 - 6 = 14 candy bars.
3. Each candy bar costs $1.50, so the total cost of the 14 candy bars John has left is 14 x $1.50 = $21.
4. Since John originally bought 20 candy bars, and Dave paid for 6 of them, John paid for the remaining 20 - 6 = 14 candy bars.
5. Therefore, John paid $21 for the 14 candy bars.
The final answer is: ####$21</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</si>
  <si>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</si>
  <si>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</si>
  <si>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To find out how many cards Joseph had at first, we need to add the number of cards he gave to his students and the number of cards he had left.
First, let's find out the total number of cards Joseph gave to his students. He gave 23 cards to each of his 15 students, so we multiply the number of students by the number of cards each student received:
23 cards/student * 15 students = 345 cards
Now, we add the number of cards Joseph had left to the total number of cards he gave to his students:
345 cards (given to students) + 12 cards (left) = 357 cards
So, Joseph had 357 cards at first.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</si>
  <si>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</si>
  <si>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</si>
  <si>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To find the total amount of money Mr. Maximilian receives in a year, we need to calculate the total rent collected per month and then multiply it by 12.
First, let's find the number of occupied units:
3/4 of 100 units = (3/4) × 100 = 75 units
Since each resident pays $400 per month, the total rent collected per month is:
75 units × $400/unit = $30,000 per month
Now, let's calculate the total rent collected in a year:
$30,000 per month × 12 months = $360,000 per year
So, Mr. Maximilian receives $360,000 in a year.
####360,000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</si>
  <si>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</si>
  <si>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</si>
  <si>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Let's break down the problem step by step:
Let x be the cost of one pair of jeans for James.
The total cost of the items is $110, and we know that the cost of the coat is $40 and the cost of the shoes is $30. So, the total cost of the jeans is $110 - $40 - $30 = $40.
Since James bought two pairs of jeans, the total cost of the jeans is 2x. We know that the total cost of the jeans is $40, so we can set up the equation:
2x = 40
To solve for x, we can divide both sides of the equation by 2:
x = 40/2
x = 20
So, one pair of jeans cost $20.
#### 20</t>
  </si>
  <si>
    <t>Super Clean Car Wash Company cleans 80 cars per day. They make $5 per car washed. How much money will they make in 5 days?</t>
  </si>
  <si>
    <t>Each day they will make 80 × $5 = $&lt;&lt;80*5=400&gt;&gt;400.
They will make $400 × 5 = $&lt;&lt;400*5=2000&gt;&gt;2000 in 5 days.
#### 2000</t>
  </si>
  <si>
    <t>To find out how much money the company will make in 5 days, we need to multiply the number of cars they clean per day by the amount of money they make per car, and then multiply that by the number of days.
First, let's calculate the amount of money they make per day:
80 cars/day x $5/car = $400/day
Next, let's multiply the daily amount by the number of days:
$400/day x 5 days = $2000
So, the Super Clean Car Wash Company will make $2000 in 5 days.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</si>
  <si>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</si>
  <si>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</si>
  <si>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To find out how many more pencils the electric sharpener can sharpen than the hand-crank sharpener in six minutes, we need to calculate the number of pencils each sharpener can sharpen in six minutes and then find the difference.
First, let's calculate the number of pencils the hand-crank sharpener can sharpen in six minutes:
6 minutes = 360 seconds (since 1 minute = 60 seconds, 6 minutes = 6 x 60 = 360 seconds)
The hand-crank sharpener can sharpen one pencil every 45 seconds, so in 360 seconds, it can sharpen:
360 / 45 = 8 pencils
Now, let's calculate the number of pencils the electric sharpener can sharpen in six minutes:
The electric sharpener can sharpen one pencil every 20 seconds, so in 360 seconds, it can sharpen:
360 / 20 = 18 pencils
To find the difference, we subtract the number of pencils the hand-crank sharpener can sharpen from the number of pencils the electric sharpener can sharpen:
18 - 8 = 10
So, the electric sharpener can sharpen 10 more pencils than the hand-crank sharpener in six minutes.
The final answer is: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</si>
  <si>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</si>
  <si>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</si>
  <si>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Let's break down the problem step by step:
1. Shelly had 50 candies left after eating 20 the previous week, so she had 50 + 20 = 70 candies originally.
2. Her friend brought twice as much candy as Shelly originally had, so her friend brought 2 x 70 = 140 candies.
3. Shelly adds her friend's candies to the bowl, so now there are 50 (Shelly's candies) + 140 (her friend's candies) = 190 candies in total.
4. They decide to divide the candies equally, so each of them gets 190 / 2 = 95 candies.
5. Her friend eats 10 candies, so she has 95 - 10 = 85 candies left.
The final answer is: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</si>
  <si>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</si>
  <si>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</si>
  <si>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Step 1: Calculate the cost of four T-shirts
The cost of one T-shirt is $20. Therefore, the cost of four T-shirts is 4 * $20 = $80.
Step 2: Calculate the cost of three pairs of pants
The cost of one pair of pants is $80. Therefore, the cost of three pairs of pants is 3 * $80 = $240.
Step 3: Calculate the cost of two pairs of shoes
The cost of one pair of shoes is $150. Therefore, the cost of two pairs of shoes is 2 * $150 = $300.
Step 4: Calculate the total cost of all items before discount
The total cost of all items before discount is $80 + $240 + $300 = $620.
Step 5: Calculate the total discount
The total discount is 10% of $620, which is 0.1 * $620 = $62.
Step 6: Calculate the total cost after discount
The total cost after discount is $620 - $62 = $558.
The final answer is: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</si>
  <si>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</si>
  <si>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</si>
  <si>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Let's break this problem down step by step.
1. Since Peter and his dad Rupert share the same birthday, they are the same age.
2. Peter has 10 candles on his cake, which means he is 10 years old.
3. Rupert is 3 and 1/2 times older than Peter. To find Rupert's age, we multiply Peter's age by 3 and 1/2 (or 3.5).
4. Multiply 10 by 3.5: 10 × 3.5 = 35.
5. So, Rupert is 35 years old.
6. Since Rupert is 35 years old, he will have 35 candles on his cake.
The final answer is: ####35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</si>
  <si>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</si>
  <si>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</si>
  <si>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To find the number of people who play football, we need to first find the number of people who like football.
We are given that 24 out of 60 individuals like football. To find the percentage of people who like football, we can divide 24 by 60 and multiply by 100:
(24/60) x 100 = 40%
So, 40% of the people like football.
Now, we are given that 50% of the people who like football play it. To find the percentage of people who play football, we can multiply the percentage of people who like football by 50%:
40% x 50% = 20%
So, 20% of the people play football.
Now, we need to find the number of people who play football out of a group of 250. We can find this by multiplying 250 by 20%:
250 x 20% = 250 x 0.2 = 50
So, we would expect 50 people to play football out of a group of 250.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</si>
  <si>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</si>
  <si>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</si>
  <si>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To find out how many laps Jasmine swims in five weeks, we need to calculate the total number of laps she swims in a week and then multiply it by 5.
There are 5 days in a week (Monday through Friday), and Jasmine swims 12 laps each day. So, the total number of laps she swims in a week is:
12 laps/day × 5 days/week = 60 laps/week
Now, we need to find out how many laps she swims in 5 weeks:
60 laps/week × 5 weeks = 300 laps
Therefore, Jasmine swims 300 laps in five weeks.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</si>
  <si>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</si>
  <si>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</si>
  <si>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Step 1: Monica saves $15 every week for 60 weeks, so the total amount of money she saves in the first moneybox is $15 * 60 = $900.
Step 2: Since Monica repeats this process 5 times, we need to multiply the amount she saves in the first moneybox by 5 to get the total amount she takes to the bank. Total money = $900 * 5 = $4500.
The final answer is: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</si>
  <si>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</si>
  <si>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</si>
  <si>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Let's break down the problem step by step:
1. Bryan does 3 sets of 15 push-ups each, so the total number of push-ups in the first two sets is:
3 sets x 15 push-ups/set = 45 push-ups
2. In the third set, Bryan does 5 fewer push-ups, so he does 15 - 5 = 10 push-ups in the third set.
3. To find the total number of push-ups, we add the push-ups from the first two sets to the push-ups in the third set:
45 push-ups + 10 push-ups = 55 push-ups
Therefore, Bryan did a total of 55 push-ups.
####55</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</si>
  <si>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</si>
  <si>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</si>
  <si>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</si>
  <si>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</si>
  <si>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In the first three baskets, there are 9 apples, 15 oranges, and 14 bananas. So, the total number of fruits in the first three baskets is 9 + 15 + 14 = 38.
In the fourth basket, there are 2 less of each fruit, so there are 9 - 2 = 7 apples, 15 - 2 = 13 oranges, and 14 - 2 = 12 bananas.
So, the total number of fruits in the fourth basket is 7 + 13 + 12 = 32.
The total number of fruits in all four baskets is 38 + 32 = 70.
####70</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</si>
  <si>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</si>
  <si>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</si>
  <si>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To find Robert's monthly expenses, we need to calculate his total earnings first.
Robert's basic salary is $1250 per month.
He earns a 10% commission on his monthly sales, which is 10% of $23600 = 0.1 * $23600 = $2360.
So, his total earnings are $1250 + $2360 = $3610.
He allocated 20% of his total earnings to savings, which is 20% of $3610 = 0.2 * $3610 = $722.
Now, we can find his monthly expenses by subtracting his savings from his total earnings:
Monthly expenses = Total earnings - Savings
= $3610 - $722
= $2888.
The final answer is: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</si>
  <si>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</si>
  <si>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</si>
  <si>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Let's break it down step by step:
1. There are 6 female members.
2. Since there are two times as many males as females, the number of male members is 2 times the number of female members.
   So, the number of male members = 2 * 6 = 12
3. To find the total number of members in the Math club, we need to add the number of male members and the number of female members.
   Total members = Number of male members + Number of female members
   Total members = 12 + 6
   Total members = 18
So, there are 18 members in the Math club in total.
####18</t>
  </si>
  <si>
    <t>Justin can run 2 blocks in 1.5 minutes. If he is 8 blocks from home, in how many minutes can he run home?</t>
  </si>
  <si>
    <t>There are 8/2 = &lt;&lt;8/2=4&gt;&gt;4 sets of two blocks that Justin can run.
Thus, he can run home for 4 x 1.5 = &lt;&lt;4*1.5=6&gt;&gt;6 minutes.
#### 6</t>
  </si>
  <si>
    <t>To find out how long it will take Justin to run home, we need to first find out how long it takes him to run one block. 
Since Justin can run 2 blocks in 1.5 minutes, we can divide 1.5 minutes by 2 blocks to find out how long it takes him to run one block.
1.5 minutes / 2 blocks = 0.75 minutes per block
Now that we know it takes Justin 0.75 minutes to run one block, we can multiply this by the number of blocks he needs to run to get home, which is 8 blocks.
0.75 minutes/block * 8 blocks = 6 minutes
The final answer is: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</si>
  <si>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</si>
  <si>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</si>
  <si>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Let's say the number of pufferfish is x. Since there are five times as many swordfish as pufferfish, the number of swordfish is 5x.
The total number of fish is the sum of the number of pufferfish and the number of swordfish, which is 90. We can write this as an equation:
x + 5x = 90
Combine like terms:
6x = 90
Divide both sides by 6:
x = 15
So, there are 15 pufferfish.</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</si>
  <si>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</si>
  <si>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</si>
  <si>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Let's break down the problem step by step:
1. The cat catches 8 birds during the day.
2. The cat catches twice as many birds at night, which means it catches 2 x 8 = 16 birds at night.
3. To find the total number of birds caught, we need to add the number of birds caught during the day and the number of birds caught at night: 8 + 16 = 24
So, the cat caught a total of 24 birds.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</si>
  <si>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</si>
  <si>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</si>
  <si>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 xml:space="preserve">To find the number of pins after a month, we need to calculate the number of pins added and deleted.
The group has 20 people, and each person contributes an average of 10 pins per day. So, the total number of pins added per day is 20 * 10 = 200.
In a month (30 days), the total number of pins added is 200 * 30 = 6000.
However, the group owner deletes older pins at the rate of 5 pins per week per person. Since there are 20 people, the total number of pins deleted per week is 20 * 5 = 100.
In a month (30 days), the total number of pins deleted is 100 * 4 = 400 (since there are approximately 4 weeks in a month).
Now, we need to find the net change in the number of pins. The total number of pins added is 6000, and the total number of pins deleted is 400. So, the net change is 6000 - 400 = 5600.
The initial number of pins is 1000. After a month, the total number of pins would be 1000 + 5600 = 6600.
However, we need to consider the fact that the group owner deletes older pins at the rate of 5 pins per week per person. This means that the number of pins deleted is not constant, but rather increases over time.
Let's recalculate the number of pins deleted over a month:
In the first week, the number of pins deleted is 20 * 5 = 100.
In the second week, the number of pins deleted is 20 * 5 = 100 (since the number of pins deleted is not affected by the number of weeks).
In the third week, the number of pins deleted is 20 * 5 = 100.
In the fourth week, the number of pins deleted is 20 * 5 = 100.
The total number of pins deleted over a month is 100 + 100 + 100 + 100 = 400.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deleted is 20 * 5 = 100.
However, we need to consider the fact that the number of pins deleted is not constant, but rather increases over time. Let's recalculate the number of pins deleted over a month, taking into account the fact that the number of pins deleted is not constant:
In the first week, the number of pins deleted is 20 * 5 = 100.
In the second week, the number of pins deleted is 20 * 5 = 100.
In the third week, the number of pins deleted is 20 * 5 = 100.
In the fourth week, the number of pins </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</si>
  <si>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</si>
  <si>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</si>
  <si>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Step 1: Calculate the number of infections per day during the second wave.
The number of infections per day during the first wave was 300. The number of cases increased by four times more per day during the second wave, so the number of infections per day during the second wave is 300 + (300 * 4) = 300 + 1200 = 1500.
Step 2: Calculate the total number of infections during the second wave in 2 weeks.
There are 7 days in a week, so there are 7 * 2 = 14 days in 2 weeks. The total number of infections during the second wave in 2 weeks is 1500 * 14 = 21000.
The final answer is: ####21000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</si>
  <si>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</si>
  <si>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</si>
  <si>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On Tuesday, Matt worked for 450 / 2 = 225 minutes.
To find out how many more minutes he worked on Wednesday than on Tuesday, we need to subtract the number of minutes he worked on Tuesday from the number of minutes he worked on Wednesday.
So, 300 (minutes on Wednesday) - 225 (minutes on Tuesday) = 75 minutes.
Therefore, Matt worked 75 minutes more on Wednesday than on Tuesday.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</si>
  <si>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</si>
  <si>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</si>
  <si>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Let's break this problem down step by step:
1. Danny made 4 dozen cookies. Since 1 dozen is equal to 12, we can multiply 4 by 12 to find the total number of cookies:
4 × 12 = 48 cookies
2. Each cookie has exactly 7 chips. To find the total number of chips, we can multiply the number of cookies by the number of chips per cookie:
48 cookies × 7 chips/cookie = 336 chips
3. The class eats half the cookies. To find the number of cookies eaten, we can divide the total number of cookies by 2:
48 cookies ÷ 2 = 24 cookies eaten
4. Since each cookie has 7 chips, we can multiply the number of cookies eaten by the number of chips per cookie to find the total number of chips eaten:
24 cookies × 7 chips/cookie = 168 chips eaten
5. To find the number of chips left uneaten, we can subtract the number of chips eaten from the total number of chips:
336 chips - 168 chips = 168 chips
So, there are 168 chips left uneaten.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</si>
  <si>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</si>
  <si>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</si>
  <si>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Let's break it down step by step:
1. Regular bikes have 2 wheels each, and there are 7 of them. So, the total number of wheels on regular bikes is:
7 x 2 = 14
2. Children's bikes have 4 wheels each, and there are 11 of them. So, the total number of wheels on children's bikes is:
11 x 4 = 44
3. To find the total number of wheels Naomi saw, we add the number of wheels on regular bikes and children's bikes:
14 + 44 = 58
Therefore, Naomi saw 58 wheels at the park.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</si>
  <si>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</si>
  <si>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</si>
  <si>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To find the number of swans in ten years, we need to calculate the number of swans after each 2-year period.
Year 1: 15 swans (initial number)
Year 3: 15 * 2 = 30 swans (doubled after 2 years)
Year 5: 30 * 2 = 60 swans (doubled after 2 years)
Year 7: 60 * 2 = 120 swans (doubled after 2 years)
Year 9: 120 * 2 = 240 swans (doubled after 2 years)
Year 10: 240 * 2 = 480 swans (doubled after 2 years)
Therefore, in ten years, there will be 480 swans in Rita's pond.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</si>
  <si>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</si>
  <si>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</si>
  <si>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Let's break down the problem step by step:
1. First, let's calculate the total number of pies Michael needs to make:
5 peach pies + 4 apple pies + 3 blueberry pies = 12 pies
2. Since each pie requires 3 pounds of fruit, the total amount of fruit needed is:
12 pies x 3 pounds/pie = 36 pounds
3. Now, let's calculate the cost of the fruit:
- Peaches: 5 pies x 3 pounds/pie = 15 pounds of peaches
- Apples: 4 pies x 3 pounds/pie = 12 pounds of apples
- Blueberries: 3 pies x 3 pounds/pie = 9 pounds of blueberries
4. The cost of the peaches is:
15 pounds x $2.00/pound = $30.00
5. The cost of the apples is:
12 pounds x $1.00/pound = $12.00
6. The cost of the blueberries is:
9 pounds x $1.00/pound = $9.00
7. Finally, let's add up the costs of all the fruit:
$30.00 (peaches) + $12.00 (apples) + $9.00 (blueberries) = $51.00
The final answer is: ####$51.00</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</si>
  <si>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</si>
  <si>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</si>
  <si>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To find the total distance Talia drives, we need to break down her trip into segments and add them up.
1. Distance from Talia's house to the park: 5 miles
2. Distance from the park to the grocery store: 3 miles
3. Distance from the grocery store to Talia's house: 8 miles
Now, let's add up these distances:
Total distance = Distance from house to park + Distance from park to grocery store + Distance from grocery store to house
Total distance = 5 miles + 3 miles + 8 miles
Total distance = 16 miles
So, Talia drives a total of 16 miles that day.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</si>
  <si>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</si>
  <si>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</si>
  <si>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 xml:space="preserve">Let's denote the current age of Anne as A, Emile as E, and Maude as M.
We are given that:
1. By the time Anne is two times as old as Emile, Emile will be six times as old as Maude.
2. Maude will be 8 years old.
From the second statement, we know that M = 8.
From the first statement, we can write the equation:
A + x = 2(E + x) and E + x = 6M
where x is the number of years that will pass before the conditions are met.
Simplifying the first equation, we get:
A + x = 2E + 2x
Simplifying the second equation, we get:
E + x = 48
Now, we can substitute the value of E in the first equation:
A + x = 2(48 - x) + 2x
Simplifying the equation, we get:
A + x = 96 - 2x + 2x
A + x = 96
Now, we can substitute the value of E in the first equation:
A + x = 2(48 - x)
A + x = 96 - 2x
Now, we can solve for A:
A + x = 96 - 2x
A + 2x = 96 - x
A = 96 - 3x
Now, we can substitute the value of M in the second equation:
E + x = 6(8)
E + x = 48
Now, we can solve for E:
E + x = 48
E = 48 - x
Now, we can substitute the value of E in the first equation:
A + x = 2(48 - x)
A + x = 96 - 2x
Now, we can substitute the value of E in the first equation:
A + x = 2(48 - x)
A + x = 96 - 2x
Now, we can solve for A:
A + x = 96 - 2x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value of M in the second equation:
E + x = 6(8)
E + x = 48
Now, we can solve for E:
E = 48 - x
Now, we can substitute the value of E in the first equation:
A + x = 2(48 - x)
A + x = 96 - 2x
Now, we can substitute the value of E in the first equation:
A + x = 2(48 - x)
A + x = 96 - 2x
Now, we can solve for A:
A = 96 - 3x
Now, we can substitute the </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</si>
  <si>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</si>
  <si>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</si>
  <si>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To find the total number of days the duck is flying, we need to add the number of days it takes to fly south, north, and east.
The duck takes 40 days to fly south.
It takes twice as much time to fly north, so it takes 2 x 40 = 80 days to fly north.
It takes 60 days to fly east.
So, the total number of days the duck is flying is 40 + 80 + 60 = 180.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</si>
  <si>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</si>
  <si>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</si>
  <si>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Let's break down the problem step by step:
Let x be the number of large pizzas sold.
We know that the total amount of money made from selling small pizzas is $2 x 8 = $16.
We also know that the total amount of money made from selling pizzas is $40.
Since the pizzeria sells large pizzas for $8 each, the amount of money made from selling large pizzas is 8x.
We can set up the equation:
16 + 8x = 40
Subtract 16 from both sides:
8x = 24
Divide both sides by 8:
x = 3
So, the pizzeria sold 3 large pizzas.
####3</t>
  </si>
  <si>
    <t>% correct</t>
  </si>
  <si>
    <t># correct</t>
  </si>
  <si>
    <t>correct?</t>
  </si>
  <si>
    <t>Let's break down the problem step by step:
Cassandra collected 5000 pennies.
James collected 276 fewer pennies than Cassandra. To find out how many pennies James collected, we need to subtract 276 from 5000.
5000 - 276 = 4824
So, James collected 4824 pennies.
To find the total number of pennies they donated to charity, we need to add the number of pennies Cassandra collected and the number of pennies James collected.
5000 (Cassandra's pennies) + 4824 (James' pennies) = 9824
Therefore, they donated 9824 pennies to charity.
####9824</t>
  </si>
  <si>
    <t>Step 1: Calculate the total number of toes on a Hoopit
A Hoopit has 3 toes on each of their 4 hands, so the total number of toes on a Hoopit is 3 * 4 = 12.
Step 2: Calculate the total number of toes on a Neglart
A Neglart has 2 toes on each of their 5 hands, so the total number of toes on a Neglart is 2 * 5 = 10.
Step 3: Calculate the total number of toes on 7 Hoopits
Since there are 7 Hoopits on the bus, the total number of toes on the Hoopits is 7 * 12 = 94.
Step 4: Calculate the total number of toes on 8 Neglarts
Since there are 8 Neglarts on the bus, the total number of toes on the Neglarts is 8 * 10 = 90.
Step 5: Calculate the total number of toes on the bus
The total number of toes on the bus is the sum of the total number of toes on the Hoopits and the total number of toes on the Neglarts, which is 94 + 90 = 184.
The final answer is: ####184</t>
  </si>
  <si>
    <t>Let's break it down step by step:
Mia spent 1/5 of her day watching TV. Since there are 24 hours in a day, we can convert this to minutes:
1/5 × 24 hours = 1/5 × 24 × 60 minutes = 4.8 hours × 60 minutes/hour = 288 minutes
Mia spent 288 minutes watching TV. Now, we need to find out how many minutes she has left in the day:
Total minutes in a day = 24 hours × 60 minutes/hour = 1440 minutes
Time left = 1440 minutes - 288 minutes = 1152 minutes
Mia spent 1/4 of the time left on studying:
1/4 × 1152 minutes = 288 minutes
So, Mia spent 288 minutes studying each day.
####300</t>
  </si>
  <si>
    <t>Let's break down the problem step by step:
Pond A has 32 frogs.
Pond A has twice as many frogs as Pond B, so Pond B has half as many frogs as Pond A.
To find the number of frogs in Pond B, we can divide the number of frogs in Pond A by 2: 32 ÷ 2 = 18.
Now that we know Pond B has 18 frogs, we can find the total number of frogs in both ponds by adding the number of frogs in each pond: 32 (Pond A) + 18 (Pond B) = 50.
So, there are 50 frogs in both ponds combined.
####50</t>
  </si>
  <si>
    <t>Let's break down the problem step by step:
Let's denote the number of rubber bands Bailey had initially as B, the number of rubber bands Justine had initially as J, and the number of rubber bands Ylona had initially as Y.
From the problem, we know that:
1. Justine had 10 more rubber bands than Bailey: J = B + 10
2. Ylona had 2 more rubber bands than Justine: Y = J + 2
3. Bailey gave 2 rubber bands to Justine and 2 rubber bands to Ylona, and he was left with 8 rubber bands: B - 4 = 8
Now, let's solve the equations step by step:
From equation (3), we can find the initial number of rubber bands Bailey had: B = 8 + 4 = 12
Now, substitute B = 12 into equation (1): J = 12 + 10 = 22
Now, substitute J = 22 into equation (2): Y = 22 + 2 = 24
Therefore, Ylona had 24 rubber bands in the beginning.
#### 26</t>
  </si>
  <si>
    <t>Let's break down the problem step by step:
Matthias has 40 soccer balls and 15 basketballs, so the total number of balls is:
40 (soccer balls) + 15 (basketballs) = 55
30 soccer balls and 7 basketballs have a hole in them, so we need to subtract these from the total number of balls:
55 (total balls) - 30 (soccer balls with holes) - 7 (basketballs with holes) = 55 - 37 = 20
Therefore, Matthias has 20 balls without holes in them.
####20</t>
  </si>
  <si>
    <t>Let's break down the problem step by step:
Mason is 20 years old.
Mason is three times younger than Sydney, so Sydney is 3 times older than Mason.
Sydney's age = 3 * Mason's age = 3 * 20 = 60 years old.
Sydney is six years younger than Mason's father, so Mason's father is six years older than Sydney.
Mason's father's age = Sydney's age + 6 = 60 + 6 = 69 years old.
The final answer is: ####69</t>
  </si>
  <si>
    <t>Let's break down the problem step by step:
Let's say Alan handed out x tickets.
Since Marcy handed out 6 fewer than 5 times as many tickets as Alan, we can write an equation for the number of tickets Marcy handed out:
Marcy's tickets = 5x - 6
3. We know that together, Alan and Marcy handed out 150 tickets. So, we can set up an equation to represent the total number of tickets handed out:
x + (5x - 6) = 150
4. Simplify the equation:
x + 5x - 6 = 150
6x - 6 = 150
6x = 158
x = 28
So, Alan handed out 28 tickets.
####28</t>
  </si>
  <si>
    <t>Let's break down the problem step by step:
Let Hiram's age be H and Allyson's age be A.
We are given that when you add 12 to Hiram's age, you get 4 less than twice Allyson's age. This can be written as:
H + 12 = 2A - 4
We are also given that Hiram is 40 years old, so we can substitute H = 40 into the equation:
40 + 12 = 2A - 4
Simplifying the equation:
52 = 2A - 4
Adding 4 to both sides:
56 = 2A
Dividing both sides by 2:
28 = A
So, Allyson is 30 years old.
30</t>
  </si>
  <si>
    <t>To find the total number of car wheels in the parking lot, we need to first find the total number of wheels in the 10 cars that the guests arrived in.
Since each car has 4 wheels, we can find the total number of wheels in the 10 cars by multiplying the number of cars by the number of wheels per car.
10 cars * 4 wheels per car = 40 wheels
However, we also need to include the wheels of Dylan's parent's car and jeep. Since Dylan's mother has a car and his father has a jeep, there are 2 more cars to consider.
2 cars * 4 wheels per car = 8 wheels
Now, we can add the wheels of the 10 guest cars and the 2 parent cars to find the total number of car wheels in the parking lot.
40 wheels + 8 wheels = 50 wheels
The final answer is: ####50</t>
  </si>
  <si>
    <t>Let's break down the problem step by step:
Boudreaux caught 12 necklaces.
Rhonda caught half as many necklaces as Boudreaux, so Rhonda caught 12 / 2 = 6 necklaces.
Latch caught 4 less than three times as many necklaces as Rhonda. Let's call the number of necklaces Rhonda caught "R". Then, Latch caught 3R - 4 necklaces.
We know Rhonda caught 6 necklaces, so we can substitute R = 6 into the equation: Latch caught 3(6) - 4 = 18 - 4 = 15 necklaces.
Therefore, Latch caught 15 necklaces.
####15</t>
  </si>
  <si>
    <t>To find the number of lions after 1 year, we need to calculate the net change in the lion population per month and then multiply it by 12 (the number of months in a year).
The net change in the lion population per month is:
5 (births) - 1 (deaths) = 5
So, the lion population increases by 5 per month.
After 1 year, the lion population will increase by:
5 (net change per month) × 12 (months) = 60
The initial lion population is 100, so the total lion population after 1 year will be:
100 (initial population) + 60 (increase) = 160
Therefore, there will be 160 lions in Londolozi after 1 year.
####160</t>
  </si>
  <si>
    <t>So, Justine used 245 sheets of paper.
####245
To find out how many sheets of paper Justine used, we need to divide the total number of sheets by 5 (since they were evenly split into 5 binders) and then multiply that number by 1/2 (since Justine colored on one-half of the sheets).
First, divide 2450 by 5:
2450 ÷ 5 = 500
Then, multiply 500 by 1/2:
500 × 1/2 = 250
So, Justine used 250 sheets of paper.
####250</t>
  </si>
  <si>
    <t>Let's break down the problem step by step:
Teresa scored 70 marks in science.
She scored 80 marks in music.
She scored 85 marks in social studies.
She scored half as many marks in physics as she scored in music. Since she scored 80 marks in music, she scored 80/2 = 45 marks in physics.
Now, let's add up the marks in all the subjects:
70 (science) + 80 (music) + 85 (social studies) + 45 (physics) = 280
So, the total marks Teresa scored in all the subjects is 280.
####280</t>
  </si>
  <si>
    <t>Let's break down the problem step by step: 
1. Lee charges $33 per lawn, and he mowed 16 lawns, so the total amount he earned from mowing lawns is: 16 lawns x $33 per lawn = $528
 2. Three customers gave him a $10 tip each, so the total amount he earned from tips is: 3 tips x $10 per tip = $30
 3. To find the total amount Lee earned, we add the amount he earned from mowing lawns and the amount he earned from tips: $528 (from mowing lawns) + $30 (from tips) = $558 Therefore, Lee earned $558 mowing lawns last week.
 ####558</t>
  </si>
  <si>
    <t>To find the total number of employees in the two buses combined, we need to calculate the number of employees in each bus and then add them together.
Bus 1 has 60% of its capacity full, which means it has 60% of 150 people. To find 60% of 150, we multiply 150 by 0.6:
150 x 0.6 = 90
So, Bus 1 has 90 employees.
Bus 2 has 70% of its capacity full, which means it has 70% of 150 people. To find 70% of 150, we multiply 150 by 0.7:
150 x 0.7 = 105
So, Bus 2 has 105 employees.
Now, we add the number of employees in each bus to find the total number of employees in the two buses combined:
90 + 105 = 195
Therefore, the total number of employees in the two buses combined is 195.
####195</t>
  </si>
  <si>
    <t>Let's break down the information:
Mona joined 9 groups, with 4 other players in each group. This means she grouped with 9 x 4 = 36 players in total.
In 2 of the groups, she had grouped with players before. One group included 2 players she had grouped with before, and another group included 1 player she had grouped with before. This means 2 + 1 = 3 players were not new.
To find the total number of unique players she grouped with, we subtract the 3 players she had grouped with before from the 36 total players:
36 - 3 = 33
So, Mona grouped with 33 unique players that weekend.
####33</t>
  </si>
  <si>
    <t>To find the number of people Maurice can invite, we need to divide the total amount of ground beef he purchased by the amount needed for each burger.
First, let's find the total amount of ground beef Maurice purchased:
4 packages × 5 pounds/package = 20 pounds
Since Maurice wants to make one 2-pound burger for each person, we need to divide the total amount of ground beef by 2 pounds:
20 pounds ÷ 2 pounds/burger = 10 burgers
Since Maurice is also getting a burger, we need to subtract 1 from the total number of burgers to find the total number of people he can invite:
10 burgers - 1 (Maurice) = 9 people
The final answer is: ####9</t>
  </si>
  <si>
    <t>Let's break down the problem step by step:
Fiona completed 36 math questions in an hour.
Shirley completed twice as many math questions as Fiona, so Shirley completed 2 x 36 = 72 math questions in an hour.
Kiana completed half of the sum of Fiona and Shirley's math questions. The sum of Fiona and Shirley's math questions is 36 + 72 = 108. Half of this sum is 108 / 2 = 54 math questions.
In the first hour, the total number of math questions completed by all three girls is 36 + 72 + 54 = 162.
Since they each did the same number of questions the following hour, they each completed the same number of questions as they did in the first hour: 36 + 72 + 54 = 162 questions.
The total number of math questions completed by all three girls in 2 hours is 162 + 162 = 324.
The final answer is: ####324</t>
  </si>
  <si>
    <t>Let's break down the information given:
Carmen needs $7 more to have twice the amount of money that Jethro has.
Let Jethro's money be x. Then, Carmen's money is 2x - 7.
Patricia has $60, which is 3 times as much as Jethro.
So, 60 = 3x.
Now, let's solve for x:
60 = 3x
x = 60 / 3
x = 20
Now that we know Jethro has $20, we can find out how much money Carmen has:
Carmen's money = 2x - 7
= 2(20) - 7
= 40 - 7
= 33
Now, we can find the sum of all their money:
Sum = Jethro's money + Carmen's money + Patricia's money
= 20 + 33 + 60
= 113
####113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</si>
</sst>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E+00"/>
    <numFmt numFmtId="165" formatCode="0.0E+00"/>
    <numFmt numFmtId="166" formatCode="0.0000E+00"/>
    <numFmt numFmtId="167" formatCode="0E+00"/>
  </numFmts>
  <fonts count="5"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
      <b/>
      <sz val="12"/>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5">
    <xf numFmtId="0" fontId="0" fillId="0" borderId="0" xfId="0">
      <alignment vertical="top" wrapText="1"/>
    </xf>
    <xf numFmtId="0" fontId="0" fillId="0" borderId="0" xfId="0" applyNumberFormat="1" applyAlignment="1">
      <alignment vertical="top"/>
    </xf>
    <xf numFmtId="0" fontId="4" fillId="0" borderId="0" xfId="0" applyNumberFormat="1" applyFont="1" applyAlignment="1">
      <alignment vertical="top"/>
    </xf>
    <xf numFmtId="0" fontId="1" fillId="0" borderId="0" xfId="0" applyFont="1" applyAlignment="1">
      <alignment horizontal="center" vertical="center"/>
    </xf>
    <xf numFmtId="0" fontId="1" fillId="0" borderId="0" xfId="0" applyNumberFormat="1" applyFont="1" applyAlignment="1">
      <alignment vertical="top"/>
    </xf>
    <xf numFmtId="0" fontId="2" fillId="0" borderId="0" xfId="0" applyNumberFormat="1" applyFont="1" applyAlignment="1">
      <alignment vertical="top"/>
    </xf>
    <xf numFmtId="0" fontId="2" fillId="0" borderId="0" xfId="0" applyNumberFormat="1" applyFont="1" applyAlignment="1">
      <alignment horizontal="center" vertical="center"/>
    </xf>
    <xf numFmtId="49" fontId="4"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NumberFormat="1" applyBorder="1" applyAlignment="1">
      <alignment horizontal="center" vertical="center" wrapText="1"/>
    </xf>
    <xf numFmtId="11" fontId="0" fillId="0" borderId="4" xfId="0" applyNumberFormat="1" applyBorder="1" applyAlignment="1">
      <alignment horizontal="center" vertical="center" wrapText="1"/>
    </xf>
    <xf numFmtId="0" fontId="2"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NumberFormat="1" applyBorder="1" applyAlignment="1">
      <alignment horizontal="center" vertical="center" wrapText="1"/>
    </xf>
    <xf numFmtId="11" fontId="0" fillId="0" borderId="7" xfId="0" applyNumberFormat="1" applyBorder="1" applyAlignment="1">
      <alignment horizontal="center" vertical="center" wrapText="1"/>
    </xf>
    <xf numFmtId="164" fontId="0" fillId="0" borderId="7" xfId="0" applyNumberFormat="1" applyBorder="1" applyAlignment="1">
      <alignment horizontal="center" vertical="center" wrapText="1"/>
    </xf>
    <xf numFmtId="165" fontId="0" fillId="0" borderId="7" xfId="0" applyNumberFormat="1" applyBorder="1" applyAlignment="1">
      <alignment horizontal="center" vertical="center" wrapText="1"/>
    </xf>
    <xf numFmtId="166" fontId="0" fillId="0" borderId="7" xfId="0" applyNumberFormat="1" applyBorder="1" applyAlignment="1">
      <alignment horizontal="center" vertical="center" wrapText="1"/>
    </xf>
    <xf numFmtId="49" fontId="3" fillId="0" borderId="7" xfId="0" applyNumberFormat="1" applyFont="1" applyBorder="1" applyAlignment="1">
      <alignment horizontal="center" vertical="center" wrapText="1"/>
    </xf>
    <xf numFmtId="167" fontId="0" fillId="0" borderId="7" xfId="0" applyNumberFormat="1" applyBorder="1" applyAlignment="1">
      <alignment horizontal="center" vertical="center" wrapText="1"/>
    </xf>
    <xf numFmtId="0" fontId="0" fillId="0" borderId="7" xfId="0" applyBorder="1" applyAlignment="1">
      <alignment horizontal="center" vertical="center" wrapText="1"/>
    </xf>
    <xf numFmtId="49" fontId="3" fillId="0" borderId="6" xfId="0" applyNumberFormat="1" applyFont="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6"/>
  <sheetViews>
    <sheetView tabSelected="1" topLeftCell="C501" zoomScale="109" zoomScaleNormal="91" workbookViewId="0">
      <selection activeCell="H502" sqref="H502"/>
    </sheetView>
  </sheetViews>
  <sheetFormatPr baseColWidth="10" defaultColWidth="8.33203125" defaultRowHeight="20" customHeight="1" x14ac:dyDescent="0.15"/>
  <cols>
    <col min="1" max="1" width="11.83203125" style="1" customWidth="1"/>
    <col min="2" max="2" width="30" style="1" customWidth="1"/>
    <col min="3" max="3" width="26.33203125" style="1" customWidth="1"/>
    <col min="4" max="4" width="26" style="1" customWidth="1"/>
    <col min="5" max="5" width="18.83203125" style="1" customWidth="1"/>
    <col min="6" max="6" width="17.83203125" style="1" customWidth="1"/>
    <col min="7" max="7" width="20" style="1" customWidth="1"/>
    <col min="8" max="8" width="19.6640625" style="1" customWidth="1"/>
    <col min="9" max="9" width="16.5" style="1" customWidth="1"/>
    <col min="10" max="10" width="16.33203125" style="1" customWidth="1"/>
    <col min="11" max="11" width="13.83203125" style="5" customWidth="1"/>
    <col min="12" max="16384" width="8.33203125" style="1"/>
  </cols>
  <sheetData>
    <row r="1" spans="1:11" ht="27.75" customHeight="1" x14ac:dyDescent="0.15">
      <c r="A1" s="3" t="s">
        <v>0</v>
      </c>
      <c r="B1" s="3"/>
      <c r="C1" s="3"/>
      <c r="D1" s="3"/>
      <c r="E1" s="3"/>
      <c r="F1" s="3"/>
      <c r="G1" s="3"/>
      <c r="H1" s="3"/>
      <c r="I1" s="3"/>
      <c r="J1" s="3"/>
      <c r="K1" s="6"/>
    </row>
    <row r="2" spans="1:11" s="4" customFormat="1" ht="32" customHeight="1" x14ac:dyDescent="0.15">
      <c r="A2" s="7" t="s">
        <v>1</v>
      </c>
      <c r="B2" s="7" t="s">
        <v>2</v>
      </c>
      <c r="C2" s="7" t="s">
        <v>3</v>
      </c>
      <c r="D2" s="7" t="s">
        <v>4</v>
      </c>
      <c r="E2" s="7" t="s">
        <v>5</v>
      </c>
      <c r="F2" s="7" t="s">
        <v>6</v>
      </c>
      <c r="G2" s="7" t="s">
        <v>7</v>
      </c>
      <c r="H2" s="7" t="s">
        <v>8</v>
      </c>
      <c r="I2" s="7" t="s">
        <v>9</v>
      </c>
      <c r="J2" s="7" t="s">
        <v>10</v>
      </c>
      <c r="K2" s="7" t="s">
        <v>1493</v>
      </c>
    </row>
    <row r="3" spans="1:11" ht="356.25" customHeight="1" x14ac:dyDescent="0.15">
      <c r="A3" s="8">
        <v>1297</v>
      </c>
      <c r="B3" s="9" t="s">
        <v>11</v>
      </c>
      <c r="C3" s="10" t="s">
        <v>12</v>
      </c>
      <c r="D3" s="10" t="s">
        <v>13</v>
      </c>
      <c r="E3" s="11">
        <v>8</v>
      </c>
      <c r="F3" s="11">
        <v>8</v>
      </c>
      <c r="G3" s="11">
        <v>90</v>
      </c>
      <c r="H3" s="11">
        <v>159</v>
      </c>
      <c r="I3" s="11">
        <v>249</v>
      </c>
      <c r="J3" s="12">
        <v>9.7499999999999998E-6</v>
      </c>
      <c r="K3" s="6">
        <f>IF(OR(ISBLANK(E3), ISBLANK(F3)), 0, IF(E3=F3, 1, 0))</f>
        <v>1</v>
      </c>
    </row>
    <row r="4" spans="1:11" ht="212" customHeight="1" x14ac:dyDescent="0.15">
      <c r="A4" s="13">
        <v>576</v>
      </c>
      <c r="B4" s="14" t="s">
        <v>14</v>
      </c>
      <c r="C4" s="15" t="s">
        <v>15</v>
      </c>
      <c r="D4" s="15" t="s">
        <v>16</v>
      </c>
      <c r="E4" s="16">
        <v>50</v>
      </c>
      <c r="F4" s="16">
        <v>50</v>
      </c>
      <c r="G4" s="16">
        <v>69</v>
      </c>
      <c r="H4" s="16">
        <v>94</v>
      </c>
      <c r="I4" s="16">
        <v>163</v>
      </c>
      <c r="J4" s="17">
        <v>5.1399999999999999E-6</v>
      </c>
      <c r="K4" s="6">
        <f>IF(OR(ISBLANK(E4), ISBLANK(F4)), 0, IF(E4=F4, 1, 0))</f>
        <v>1</v>
      </c>
    </row>
    <row r="5" spans="1:11" ht="308" customHeight="1" x14ac:dyDescent="0.15">
      <c r="A5" s="13">
        <v>5462</v>
      </c>
      <c r="B5" s="14" t="s">
        <v>17</v>
      </c>
      <c r="C5" s="15" t="s">
        <v>18</v>
      </c>
      <c r="D5" s="15" t="s">
        <v>19</v>
      </c>
      <c r="E5" s="16">
        <v>42</v>
      </c>
      <c r="F5" s="16">
        <v>42</v>
      </c>
      <c r="G5" s="16">
        <v>94</v>
      </c>
      <c r="H5" s="16">
        <v>145</v>
      </c>
      <c r="I5" s="16">
        <v>239</v>
      </c>
      <c r="J5" s="17">
        <v>9.1300000000000007E-6</v>
      </c>
      <c r="K5" s="6">
        <f>IF(OR(ISBLANK(E5), ISBLANK(F5)), 0, IF(E5=F5, 1, 0))</f>
        <v>1</v>
      </c>
    </row>
    <row r="6" spans="1:11" ht="392" customHeight="1" x14ac:dyDescent="0.15">
      <c r="A6" s="13">
        <v>4336</v>
      </c>
      <c r="B6" s="14" t="s">
        <v>20</v>
      </c>
      <c r="C6" s="15" t="s">
        <v>21</v>
      </c>
      <c r="D6" s="15" t="s">
        <v>22</v>
      </c>
      <c r="E6" s="16">
        <v>90</v>
      </c>
      <c r="F6" s="16">
        <v>90</v>
      </c>
      <c r="G6" s="16">
        <v>74</v>
      </c>
      <c r="H6" s="16">
        <v>185</v>
      </c>
      <c r="I6" s="16">
        <v>259</v>
      </c>
      <c r="J6" s="17">
        <v>8.8799999999999997E-6</v>
      </c>
      <c r="K6" s="6">
        <f t="shared" ref="K6:K69" si="0">IF(OR(ISBLANK(E6), ISBLANK(F6)), 0, IF(E6=F6, 1, 0))</f>
        <v>1</v>
      </c>
    </row>
    <row r="7" spans="1:11" ht="409.5" customHeight="1" x14ac:dyDescent="0.15">
      <c r="A7" s="13">
        <v>7105</v>
      </c>
      <c r="B7" s="14" t="s">
        <v>23</v>
      </c>
      <c r="C7" s="15" t="s">
        <v>24</v>
      </c>
      <c r="D7" s="15" t="s">
        <v>25</v>
      </c>
      <c r="E7" s="16">
        <v>500</v>
      </c>
      <c r="F7" s="16">
        <v>500</v>
      </c>
      <c r="G7" s="16">
        <v>84</v>
      </c>
      <c r="H7" s="16">
        <v>218</v>
      </c>
      <c r="I7" s="16">
        <v>302</v>
      </c>
      <c r="J7" s="18">
        <v>1.258E-5</v>
      </c>
      <c r="K7" s="6">
        <f t="shared" si="0"/>
        <v>1</v>
      </c>
    </row>
    <row r="8" spans="1:11" ht="188" customHeight="1" x14ac:dyDescent="0.15">
      <c r="A8" s="13">
        <v>6808</v>
      </c>
      <c r="B8" s="14" t="s">
        <v>26</v>
      </c>
      <c r="C8" s="15" t="s">
        <v>27</v>
      </c>
      <c r="D8" s="15" t="s">
        <v>28</v>
      </c>
      <c r="E8" s="16">
        <v>600</v>
      </c>
      <c r="F8" s="16">
        <v>600</v>
      </c>
      <c r="G8" s="16">
        <v>87</v>
      </c>
      <c r="H8" s="16">
        <v>101</v>
      </c>
      <c r="I8" s="16">
        <v>188</v>
      </c>
      <c r="J8" s="17">
        <v>6.7900000000000002E-6</v>
      </c>
      <c r="K8" s="6">
        <f t="shared" si="0"/>
        <v>1</v>
      </c>
    </row>
    <row r="9" spans="1:11" ht="284" customHeight="1" x14ac:dyDescent="0.15">
      <c r="A9" s="13">
        <v>4404</v>
      </c>
      <c r="B9" s="14" t="s">
        <v>29</v>
      </c>
      <c r="C9" s="15" t="s">
        <v>30</v>
      </c>
      <c r="D9" s="15" t="s">
        <v>31</v>
      </c>
      <c r="E9" s="16">
        <v>200</v>
      </c>
      <c r="F9" s="16">
        <v>200</v>
      </c>
      <c r="G9" s="16">
        <v>71</v>
      </c>
      <c r="H9" s="16">
        <v>104</v>
      </c>
      <c r="I9" s="16">
        <v>175</v>
      </c>
      <c r="J9" s="17">
        <v>5.5799999999999999E-6</v>
      </c>
      <c r="K9" s="6">
        <f t="shared" si="0"/>
        <v>1</v>
      </c>
    </row>
    <row r="10" spans="1:11" ht="248" customHeight="1" x14ac:dyDescent="0.15">
      <c r="A10" s="13">
        <v>1649</v>
      </c>
      <c r="B10" s="14" t="s">
        <v>32</v>
      </c>
      <c r="C10" s="15" t="s">
        <v>33</v>
      </c>
      <c r="D10" s="15" t="s">
        <v>34</v>
      </c>
      <c r="E10" s="16">
        <v>25</v>
      </c>
      <c r="F10" s="16">
        <v>25</v>
      </c>
      <c r="G10" s="16">
        <v>90</v>
      </c>
      <c r="H10" s="16">
        <v>121</v>
      </c>
      <c r="I10" s="16">
        <v>211</v>
      </c>
      <c r="J10" s="17">
        <v>6.64E-6</v>
      </c>
      <c r="K10" s="6">
        <f t="shared" si="0"/>
        <v>1</v>
      </c>
    </row>
    <row r="11" spans="1:11" ht="224" customHeight="1" x14ac:dyDescent="0.15">
      <c r="A11" s="13">
        <v>5958</v>
      </c>
      <c r="B11" s="14" t="s">
        <v>35</v>
      </c>
      <c r="C11" s="15" t="s">
        <v>36</v>
      </c>
      <c r="D11" s="15" t="s">
        <v>37</v>
      </c>
      <c r="E11" s="16">
        <v>900</v>
      </c>
      <c r="F11" s="16">
        <v>900</v>
      </c>
      <c r="G11" s="16">
        <v>142</v>
      </c>
      <c r="H11" s="16">
        <v>106</v>
      </c>
      <c r="I11" s="16">
        <v>248</v>
      </c>
      <c r="J11" s="17">
        <v>8.14E-6</v>
      </c>
      <c r="K11" s="6">
        <f t="shared" si="0"/>
        <v>1</v>
      </c>
    </row>
    <row r="12" spans="1:11" ht="356" customHeight="1" x14ac:dyDescent="0.15">
      <c r="A12" s="13">
        <v>6366</v>
      </c>
      <c r="B12" s="14" t="s">
        <v>38</v>
      </c>
      <c r="C12" s="15" t="s">
        <v>39</v>
      </c>
      <c r="D12" s="15" t="s">
        <v>40</v>
      </c>
      <c r="E12" s="16">
        <v>54</v>
      </c>
      <c r="F12" s="16">
        <v>54</v>
      </c>
      <c r="G12" s="16">
        <v>135</v>
      </c>
      <c r="H12" s="16">
        <v>166</v>
      </c>
      <c r="I12" s="16">
        <v>301</v>
      </c>
      <c r="J12" s="19">
        <v>1.1E-5</v>
      </c>
      <c r="K12" s="6">
        <f t="shared" si="0"/>
        <v>1</v>
      </c>
    </row>
    <row r="13" spans="1:11" ht="248" customHeight="1" x14ac:dyDescent="0.15">
      <c r="A13" s="13">
        <v>3463</v>
      </c>
      <c r="B13" s="14" t="s">
        <v>41</v>
      </c>
      <c r="C13" s="15" t="s">
        <v>42</v>
      </c>
      <c r="D13" s="15" t="s">
        <v>43</v>
      </c>
      <c r="E13" s="16">
        <v>70</v>
      </c>
      <c r="F13" s="16">
        <v>70</v>
      </c>
      <c r="G13" s="16">
        <v>95</v>
      </c>
      <c r="H13" s="16">
        <v>98</v>
      </c>
      <c r="I13" s="16">
        <v>193</v>
      </c>
      <c r="J13" s="17">
        <v>5.8200000000000002E-6</v>
      </c>
      <c r="K13" s="6">
        <f t="shared" si="0"/>
        <v>1</v>
      </c>
    </row>
    <row r="14" spans="1:11" ht="236" customHeight="1" x14ac:dyDescent="0.15">
      <c r="A14" s="13">
        <v>1669</v>
      </c>
      <c r="B14" s="14" t="s">
        <v>44</v>
      </c>
      <c r="C14" s="15" t="s">
        <v>45</v>
      </c>
      <c r="D14" s="15" t="s">
        <v>46</v>
      </c>
      <c r="E14" s="16">
        <v>104</v>
      </c>
      <c r="F14" s="16">
        <v>104</v>
      </c>
      <c r="G14" s="16">
        <v>71</v>
      </c>
      <c r="H14" s="16">
        <v>101</v>
      </c>
      <c r="I14" s="16">
        <v>172</v>
      </c>
      <c r="J14" s="17">
        <v>5.4600000000000002E-6</v>
      </c>
      <c r="K14" s="6">
        <f t="shared" si="0"/>
        <v>1</v>
      </c>
    </row>
    <row r="15" spans="1:11" ht="344" customHeight="1" x14ac:dyDescent="0.15">
      <c r="A15" s="13">
        <v>4032</v>
      </c>
      <c r="B15" s="14" t="s">
        <v>47</v>
      </c>
      <c r="C15" s="15" t="s">
        <v>48</v>
      </c>
      <c r="D15" s="15" t="s">
        <v>49</v>
      </c>
      <c r="E15" s="16">
        <v>21</v>
      </c>
      <c r="F15" s="16">
        <v>21</v>
      </c>
      <c r="G15" s="16">
        <v>99</v>
      </c>
      <c r="H15" s="16">
        <v>137</v>
      </c>
      <c r="I15" s="16">
        <v>236</v>
      </c>
      <c r="J15" s="17">
        <v>8.8300000000000002E-6</v>
      </c>
      <c r="K15" s="6">
        <f t="shared" si="0"/>
        <v>1</v>
      </c>
    </row>
    <row r="16" spans="1:11" ht="212" customHeight="1" x14ac:dyDescent="0.15">
      <c r="A16" s="13">
        <v>5196</v>
      </c>
      <c r="B16" s="14" t="s">
        <v>50</v>
      </c>
      <c r="C16" s="15" t="s">
        <v>51</v>
      </c>
      <c r="D16" s="15" t="s">
        <v>52</v>
      </c>
      <c r="E16" s="16">
        <v>18</v>
      </c>
      <c r="F16" s="16">
        <v>18</v>
      </c>
      <c r="G16" s="16">
        <v>88</v>
      </c>
      <c r="H16" s="16">
        <v>117</v>
      </c>
      <c r="I16" s="16">
        <v>205</v>
      </c>
      <c r="J16" s="17">
        <v>7.61E-6</v>
      </c>
      <c r="K16" s="6">
        <f t="shared" si="0"/>
        <v>1</v>
      </c>
    </row>
    <row r="17" spans="1:11" ht="284" customHeight="1" x14ac:dyDescent="0.15">
      <c r="A17" s="13">
        <v>1025</v>
      </c>
      <c r="B17" s="14" t="s">
        <v>53</v>
      </c>
      <c r="C17" s="15" t="s">
        <v>54</v>
      </c>
      <c r="D17" s="15" t="s">
        <v>55</v>
      </c>
      <c r="E17" s="16">
        <v>640</v>
      </c>
      <c r="F17" s="16">
        <v>640</v>
      </c>
      <c r="G17" s="16">
        <v>77</v>
      </c>
      <c r="H17" s="16">
        <v>151</v>
      </c>
      <c r="I17" s="16">
        <v>228</v>
      </c>
      <c r="J17" s="17">
        <v>7.5800000000000003E-6</v>
      </c>
      <c r="K17" s="6">
        <f t="shared" si="0"/>
        <v>1</v>
      </c>
    </row>
    <row r="18" spans="1:11" ht="200" customHeight="1" x14ac:dyDescent="0.15">
      <c r="A18" s="13">
        <v>5833</v>
      </c>
      <c r="B18" s="14" t="s">
        <v>56</v>
      </c>
      <c r="C18" s="15" t="s">
        <v>57</v>
      </c>
      <c r="D18" s="15" t="s">
        <v>58</v>
      </c>
      <c r="E18" s="16">
        <v>51</v>
      </c>
      <c r="F18" s="16">
        <v>51</v>
      </c>
      <c r="G18" s="16">
        <v>94</v>
      </c>
      <c r="H18" s="16">
        <v>102</v>
      </c>
      <c r="I18" s="16">
        <v>196</v>
      </c>
      <c r="J18" s="17">
        <v>6.9800000000000001E-6</v>
      </c>
      <c r="K18" s="6">
        <f t="shared" si="0"/>
        <v>1</v>
      </c>
    </row>
    <row r="19" spans="1:11" ht="332" customHeight="1" x14ac:dyDescent="0.15">
      <c r="A19" s="13">
        <v>4728</v>
      </c>
      <c r="B19" s="14" t="s">
        <v>59</v>
      </c>
      <c r="C19" s="15" t="s">
        <v>60</v>
      </c>
      <c r="D19" s="15" t="s">
        <v>61</v>
      </c>
      <c r="E19" s="16">
        <v>10000</v>
      </c>
      <c r="F19" s="16">
        <v>10000</v>
      </c>
      <c r="G19" s="16">
        <v>113</v>
      </c>
      <c r="H19" s="16">
        <v>143</v>
      </c>
      <c r="I19" s="16">
        <v>256</v>
      </c>
      <c r="J19" s="17">
        <v>9.4099999999999997E-6</v>
      </c>
      <c r="K19" s="6">
        <f t="shared" si="0"/>
        <v>1</v>
      </c>
    </row>
    <row r="20" spans="1:11" ht="409.5" customHeight="1" x14ac:dyDescent="0.15">
      <c r="A20" s="13">
        <v>1055</v>
      </c>
      <c r="B20" s="14" t="s">
        <v>62</v>
      </c>
      <c r="C20" s="15" t="s">
        <v>63</v>
      </c>
      <c r="D20" s="15" t="s">
        <v>64</v>
      </c>
      <c r="E20" s="16">
        <v>3500000</v>
      </c>
      <c r="F20" s="16">
        <v>3500000</v>
      </c>
      <c r="G20" s="16">
        <v>74</v>
      </c>
      <c r="H20" s="16">
        <v>182</v>
      </c>
      <c r="I20" s="16">
        <v>256</v>
      </c>
      <c r="J20" s="17">
        <v>8.7600000000000008E-6</v>
      </c>
      <c r="K20" s="6">
        <f t="shared" si="0"/>
        <v>1</v>
      </c>
    </row>
    <row r="21" spans="1:11" ht="356" customHeight="1" x14ac:dyDescent="0.15">
      <c r="A21" s="13">
        <v>3481</v>
      </c>
      <c r="B21" s="14" t="s">
        <v>65</v>
      </c>
      <c r="C21" s="15" t="s">
        <v>66</v>
      </c>
      <c r="D21" s="15" t="s">
        <v>67</v>
      </c>
      <c r="E21" s="16">
        <v>300</v>
      </c>
      <c r="F21" s="16">
        <v>300</v>
      </c>
      <c r="G21" s="16">
        <v>99</v>
      </c>
      <c r="H21" s="16">
        <v>162</v>
      </c>
      <c r="I21" s="16">
        <v>261</v>
      </c>
      <c r="J21" s="17">
        <v>8.4600000000000003E-6</v>
      </c>
      <c r="K21" s="6">
        <f t="shared" si="0"/>
        <v>1</v>
      </c>
    </row>
    <row r="22" spans="1:11" ht="308" customHeight="1" x14ac:dyDescent="0.15">
      <c r="A22" s="13">
        <v>5368</v>
      </c>
      <c r="B22" s="14" t="s">
        <v>68</v>
      </c>
      <c r="C22" s="15" t="s">
        <v>69</v>
      </c>
      <c r="D22" s="15" t="s">
        <v>70</v>
      </c>
      <c r="E22" s="16">
        <v>22</v>
      </c>
      <c r="F22" s="16">
        <v>22</v>
      </c>
      <c r="G22" s="16">
        <v>106</v>
      </c>
      <c r="H22" s="16">
        <v>167</v>
      </c>
      <c r="I22" s="16">
        <v>273</v>
      </c>
      <c r="J22" s="18">
        <v>1.047E-5</v>
      </c>
      <c r="K22" s="6">
        <f t="shared" si="0"/>
        <v>1</v>
      </c>
    </row>
    <row r="23" spans="1:11" ht="409.5" customHeight="1" x14ac:dyDescent="0.15">
      <c r="A23" s="13">
        <v>2582</v>
      </c>
      <c r="B23" s="14" t="s">
        <v>71</v>
      </c>
      <c r="C23" s="15" t="s">
        <v>72</v>
      </c>
      <c r="D23" s="15" t="s">
        <v>73</v>
      </c>
      <c r="E23" s="16">
        <v>20</v>
      </c>
      <c r="F23" s="16">
        <v>20</v>
      </c>
      <c r="G23" s="16">
        <v>98</v>
      </c>
      <c r="H23" s="16">
        <v>267</v>
      </c>
      <c r="I23" s="16">
        <v>365</v>
      </c>
      <c r="J23" s="18">
        <v>1.5310000000000001E-5</v>
      </c>
      <c r="K23" s="6">
        <f t="shared" si="0"/>
        <v>1</v>
      </c>
    </row>
    <row r="24" spans="1:11" ht="296" customHeight="1" x14ac:dyDescent="0.15">
      <c r="A24" s="13">
        <v>1034</v>
      </c>
      <c r="B24" s="14" t="s">
        <v>74</v>
      </c>
      <c r="C24" s="15" t="s">
        <v>75</v>
      </c>
      <c r="D24" s="15" t="s">
        <v>76</v>
      </c>
      <c r="E24" s="16">
        <v>8</v>
      </c>
      <c r="F24" s="16">
        <v>8</v>
      </c>
      <c r="G24" s="16">
        <v>115</v>
      </c>
      <c r="H24" s="16">
        <v>155</v>
      </c>
      <c r="I24" s="16">
        <v>270</v>
      </c>
      <c r="J24" s="18">
        <v>1.005E-5</v>
      </c>
      <c r="K24" s="6">
        <f t="shared" si="0"/>
        <v>1</v>
      </c>
    </row>
    <row r="25" spans="1:11" ht="284" customHeight="1" x14ac:dyDescent="0.15">
      <c r="A25" s="13">
        <v>5286</v>
      </c>
      <c r="B25" s="14" t="s">
        <v>77</v>
      </c>
      <c r="C25" s="15" t="s">
        <v>78</v>
      </c>
      <c r="D25" s="15" t="s">
        <v>79</v>
      </c>
      <c r="E25" s="16">
        <v>33</v>
      </c>
      <c r="F25" s="16">
        <v>33</v>
      </c>
      <c r="G25" s="16">
        <v>81</v>
      </c>
      <c r="H25" s="16">
        <v>114</v>
      </c>
      <c r="I25" s="16">
        <v>195</v>
      </c>
      <c r="J25" s="17">
        <v>6.1800000000000001E-6</v>
      </c>
      <c r="K25" s="6">
        <f t="shared" si="0"/>
        <v>1</v>
      </c>
    </row>
    <row r="26" spans="1:11" ht="152" customHeight="1" x14ac:dyDescent="0.15">
      <c r="A26" s="13">
        <v>2226</v>
      </c>
      <c r="B26" s="14" t="s">
        <v>80</v>
      </c>
      <c r="C26" s="15" t="s">
        <v>81</v>
      </c>
      <c r="D26" s="15" t="s">
        <v>82</v>
      </c>
      <c r="E26" s="16">
        <v>3</v>
      </c>
      <c r="F26" s="16">
        <v>3</v>
      </c>
      <c r="G26" s="16">
        <v>104</v>
      </c>
      <c r="H26" s="16">
        <v>83</v>
      </c>
      <c r="I26" s="16">
        <v>187</v>
      </c>
      <c r="J26" s="17">
        <v>6.2299999999999996E-6</v>
      </c>
      <c r="K26" s="6">
        <f t="shared" si="0"/>
        <v>1</v>
      </c>
    </row>
    <row r="27" spans="1:11" ht="409.5" customHeight="1" x14ac:dyDescent="0.15">
      <c r="A27" s="13">
        <v>4240</v>
      </c>
      <c r="B27" s="14" t="s">
        <v>83</v>
      </c>
      <c r="C27" s="15" t="s">
        <v>84</v>
      </c>
      <c r="D27" s="15" t="s">
        <v>85</v>
      </c>
      <c r="E27" s="16">
        <v>47</v>
      </c>
      <c r="F27" s="16">
        <v>47</v>
      </c>
      <c r="G27" s="16">
        <v>85</v>
      </c>
      <c r="H27" s="16">
        <v>289</v>
      </c>
      <c r="I27" s="16">
        <v>374</v>
      </c>
      <c r="J27" s="18">
        <v>1.326E-5</v>
      </c>
      <c r="K27" s="6">
        <f t="shared" si="0"/>
        <v>1</v>
      </c>
    </row>
    <row r="28" spans="1:11" ht="296" customHeight="1" x14ac:dyDescent="0.15">
      <c r="A28" s="13">
        <v>2126</v>
      </c>
      <c r="B28" s="14" t="s">
        <v>86</v>
      </c>
      <c r="C28" s="15" t="s">
        <v>87</v>
      </c>
      <c r="D28" s="15" t="s">
        <v>88</v>
      </c>
      <c r="E28" s="16">
        <v>490</v>
      </c>
      <c r="F28" s="16">
        <v>490</v>
      </c>
      <c r="G28" s="16">
        <v>73</v>
      </c>
      <c r="H28" s="16">
        <v>153</v>
      </c>
      <c r="I28" s="16">
        <v>226</v>
      </c>
      <c r="J28" s="17">
        <v>7.5800000000000003E-6</v>
      </c>
      <c r="K28" s="6">
        <f t="shared" si="0"/>
        <v>1</v>
      </c>
    </row>
    <row r="29" spans="1:11" ht="409.5" customHeight="1" x14ac:dyDescent="0.15">
      <c r="A29" s="13">
        <v>5897</v>
      </c>
      <c r="B29" s="14" t="s">
        <v>89</v>
      </c>
      <c r="C29" s="15" t="s">
        <v>90</v>
      </c>
      <c r="D29" s="15" t="s">
        <v>91</v>
      </c>
      <c r="E29" s="16">
        <v>196</v>
      </c>
      <c r="F29" s="16">
        <v>196</v>
      </c>
      <c r="G29" s="16">
        <v>159</v>
      </c>
      <c r="H29" s="16">
        <v>331</v>
      </c>
      <c r="I29" s="16">
        <v>490</v>
      </c>
      <c r="J29" s="18">
        <v>3.4430000000000001E-5</v>
      </c>
      <c r="K29" s="6">
        <f t="shared" si="0"/>
        <v>1</v>
      </c>
    </row>
    <row r="30" spans="1:11" ht="200" customHeight="1" x14ac:dyDescent="0.15">
      <c r="A30" s="13">
        <v>101</v>
      </c>
      <c r="B30" s="14" t="s">
        <v>92</v>
      </c>
      <c r="C30" s="15" t="s">
        <v>93</v>
      </c>
      <c r="D30" s="15" t="s">
        <v>94</v>
      </c>
      <c r="E30" s="16">
        <v>36</v>
      </c>
      <c r="F30" s="16">
        <v>36</v>
      </c>
      <c r="G30" s="16">
        <v>148</v>
      </c>
      <c r="H30" s="16">
        <v>123</v>
      </c>
      <c r="I30" s="16">
        <v>271</v>
      </c>
      <c r="J30" s="17">
        <v>9.1099999999999992E-6</v>
      </c>
      <c r="K30" s="6">
        <f t="shared" si="0"/>
        <v>1</v>
      </c>
    </row>
    <row r="31" spans="1:11" ht="392" customHeight="1" x14ac:dyDescent="0.15">
      <c r="A31" s="13">
        <v>3080</v>
      </c>
      <c r="B31" s="14" t="s">
        <v>95</v>
      </c>
      <c r="C31" s="15" t="s">
        <v>96</v>
      </c>
      <c r="D31" s="15" t="s">
        <v>97</v>
      </c>
      <c r="E31" s="16">
        <v>7</v>
      </c>
      <c r="F31" s="16">
        <v>7</v>
      </c>
      <c r="G31" s="16">
        <v>75</v>
      </c>
      <c r="H31" s="16">
        <v>232</v>
      </c>
      <c r="I31" s="16">
        <v>307</v>
      </c>
      <c r="J31" s="20">
        <v>7.7984000000000004E-5</v>
      </c>
      <c r="K31" s="6">
        <f t="shared" si="0"/>
        <v>1</v>
      </c>
    </row>
    <row r="32" spans="1:11" ht="356" customHeight="1" x14ac:dyDescent="0.15">
      <c r="A32" s="13">
        <v>4600</v>
      </c>
      <c r="B32" s="14" t="s">
        <v>98</v>
      </c>
      <c r="C32" s="15" t="s">
        <v>99</v>
      </c>
      <c r="D32" s="15" t="s">
        <v>100</v>
      </c>
      <c r="E32" s="16">
        <v>160</v>
      </c>
      <c r="F32" s="16">
        <v>160</v>
      </c>
      <c r="G32" s="16">
        <v>107</v>
      </c>
      <c r="H32" s="16">
        <v>162</v>
      </c>
      <c r="I32" s="16">
        <v>269</v>
      </c>
      <c r="J32" s="18">
        <v>1.024E-5</v>
      </c>
      <c r="K32" s="6">
        <f t="shared" si="0"/>
        <v>1</v>
      </c>
    </row>
    <row r="33" spans="1:11" ht="409.5" customHeight="1" x14ac:dyDescent="0.15">
      <c r="A33" s="13">
        <v>733</v>
      </c>
      <c r="B33" s="14" t="s">
        <v>101</v>
      </c>
      <c r="C33" s="15" t="s">
        <v>102</v>
      </c>
      <c r="D33" s="15" t="s">
        <v>103</v>
      </c>
      <c r="E33" s="16">
        <v>53</v>
      </c>
      <c r="F33" s="16">
        <v>53</v>
      </c>
      <c r="G33" s="16">
        <v>101</v>
      </c>
      <c r="H33" s="16">
        <v>224</v>
      </c>
      <c r="I33" s="16">
        <v>325</v>
      </c>
      <c r="J33" s="18">
        <v>1.098E-5</v>
      </c>
      <c r="K33" s="6">
        <f t="shared" si="0"/>
        <v>1</v>
      </c>
    </row>
    <row r="34" spans="1:11" ht="380" customHeight="1" x14ac:dyDescent="0.15">
      <c r="A34" s="13">
        <v>5091</v>
      </c>
      <c r="B34" s="14" t="s">
        <v>104</v>
      </c>
      <c r="C34" s="15" t="s">
        <v>105</v>
      </c>
      <c r="D34" s="15" t="s">
        <v>106</v>
      </c>
      <c r="E34" s="16">
        <v>21</v>
      </c>
      <c r="F34" s="16">
        <v>21</v>
      </c>
      <c r="G34" s="16">
        <v>131</v>
      </c>
      <c r="H34" s="16">
        <v>192</v>
      </c>
      <c r="I34" s="16">
        <v>323</v>
      </c>
      <c r="J34" s="18">
        <v>1.222E-5</v>
      </c>
      <c r="K34" s="6">
        <f t="shared" si="0"/>
        <v>1</v>
      </c>
    </row>
    <row r="35" spans="1:11" ht="409.5" customHeight="1" x14ac:dyDescent="0.15">
      <c r="A35" s="13">
        <v>5707</v>
      </c>
      <c r="B35" s="14" t="s">
        <v>107</v>
      </c>
      <c r="C35" s="15" t="s">
        <v>108</v>
      </c>
      <c r="D35" s="15" t="s">
        <v>109</v>
      </c>
      <c r="E35" s="16">
        <v>2</v>
      </c>
      <c r="F35" s="16">
        <v>2</v>
      </c>
      <c r="G35" s="16">
        <v>139</v>
      </c>
      <c r="H35" s="16">
        <v>274</v>
      </c>
      <c r="I35" s="16">
        <v>413</v>
      </c>
      <c r="J35" s="18">
        <v>1.6480000000000001E-5</v>
      </c>
      <c r="K35" s="6">
        <f t="shared" si="0"/>
        <v>1</v>
      </c>
    </row>
    <row r="36" spans="1:11" ht="284" customHeight="1" x14ac:dyDescent="0.15">
      <c r="A36" s="13">
        <v>5007</v>
      </c>
      <c r="B36" s="14" t="s">
        <v>110</v>
      </c>
      <c r="C36" s="15" t="s">
        <v>111</v>
      </c>
      <c r="D36" s="15" t="s">
        <v>112</v>
      </c>
      <c r="E36" s="16">
        <v>33</v>
      </c>
      <c r="F36" s="16">
        <v>33</v>
      </c>
      <c r="G36" s="16">
        <v>103</v>
      </c>
      <c r="H36" s="16">
        <v>130</v>
      </c>
      <c r="I36" s="16">
        <v>233</v>
      </c>
      <c r="J36" s="18">
        <v>1.5549999999999999E-5</v>
      </c>
      <c r="K36" s="6">
        <f t="shared" si="0"/>
        <v>1</v>
      </c>
    </row>
    <row r="37" spans="1:11" ht="409.5" customHeight="1" x14ac:dyDescent="0.15">
      <c r="A37" s="13">
        <v>957</v>
      </c>
      <c r="B37" s="14" t="s">
        <v>113</v>
      </c>
      <c r="C37" s="15" t="s">
        <v>114</v>
      </c>
      <c r="D37" s="15" t="s">
        <v>115</v>
      </c>
      <c r="E37" s="16">
        <v>240</v>
      </c>
      <c r="F37" s="16">
        <v>240</v>
      </c>
      <c r="G37" s="16">
        <v>91</v>
      </c>
      <c r="H37" s="16">
        <v>217</v>
      </c>
      <c r="I37" s="16">
        <v>308</v>
      </c>
      <c r="J37" s="18">
        <v>1.2670000000000001E-5</v>
      </c>
      <c r="K37" s="6">
        <f t="shared" si="0"/>
        <v>1</v>
      </c>
    </row>
    <row r="38" spans="1:11" ht="368" customHeight="1" x14ac:dyDescent="0.15">
      <c r="A38" s="13">
        <v>3018</v>
      </c>
      <c r="B38" s="14" t="s">
        <v>116</v>
      </c>
      <c r="C38" s="15" t="s">
        <v>117</v>
      </c>
      <c r="D38" s="15" t="s">
        <v>118</v>
      </c>
      <c r="E38" s="16">
        <v>156</v>
      </c>
      <c r="F38" s="16">
        <v>160</v>
      </c>
      <c r="G38" s="16">
        <v>111</v>
      </c>
      <c r="H38" s="16">
        <v>173</v>
      </c>
      <c r="I38" s="16">
        <v>284</v>
      </c>
      <c r="J38" s="18">
        <v>1.0869999999999999E-5</v>
      </c>
      <c r="K38" s="6">
        <f t="shared" si="0"/>
        <v>0</v>
      </c>
    </row>
    <row r="39" spans="1:11" ht="409.5" customHeight="1" x14ac:dyDescent="0.15">
      <c r="A39" s="13">
        <v>4925</v>
      </c>
      <c r="B39" s="14" t="s">
        <v>119</v>
      </c>
      <c r="C39" s="15" t="s">
        <v>120</v>
      </c>
      <c r="D39" s="15" t="s">
        <v>121</v>
      </c>
      <c r="E39" s="16">
        <v>45</v>
      </c>
      <c r="F39" s="16">
        <v>36</v>
      </c>
      <c r="G39" s="16">
        <v>107</v>
      </c>
      <c r="H39" s="16">
        <v>262</v>
      </c>
      <c r="I39" s="16">
        <v>369</v>
      </c>
      <c r="J39" s="18">
        <v>1.2619999999999999E-5</v>
      </c>
      <c r="K39" s="6">
        <f t="shared" si="0"/>
        <v>0</v>
      </c>
    </row>
    <row r="40" spans="1:11" ht="308" customHeight="1" x14ac:dyDescent="0.15">
      <c r="A40" s="13">
        <v>2689</v>
      </c>
      <c r="B40" s="14" t="s">
        <v>122</v>
      </c>
      <c r="C40" s="15" t="s">
        <v>123</v>
      </c>
      <c r="D40" s="15" t="s">
        <v>124</v>
      </c>
      <c r="E40" s="16">
        <v>52</v>
      </c>
      <c r="F40" s="16">
        <v>52</v>
      </c>
      <c r="G40" s="16">
        <v>89</v>
      </c>
      <c r="H40" s="16">
        <v>131</v>
      </c>
      <c r="I40" s="16">
        <v>220</v>
      </c>
      <c r="J40" s="17">
        <v>8.3299999999999999E-6</v>
      </c>
      <c r="K40" s="6">
        <f t="shared" si="0"/>
        <v>1</v>
      </c>
    </row>
    <row r="41" spans="1:11" ht="320" customHeight="1" x14ac:dyDescent="0.15">
      <c r="A41" s="13">
        <v>4597</v>
      </c>
      <c r="B41" s="14" t="s">
        <v>125</v>
      </c>
      <c r="C41" s="15" t="s">
        <v>126</v>
      </c>
      <c r="D41" s="15" t="s">
        <v>127</v>
      </c>
      <c r="E41" s="16">
        <v>700</v>
      </c>
      <c r="F41" s="16">
        <v>700</v>
      </c>
      <c r="G41" s="16">
        <v>107</v>
      </c>
      <c r="H41" s="16">
        <v>166</v>
      </c>
      <c r="I41" s="16">
        <v>273</v>
      </c>
      <c r="J41" s="18">
        <v>1.044E-5</v>
      </c>
      <c r="K41" s="6">
        <f t="shared" si="0"/>
        <v>1</v>
      </c>
    </row>
    <row r="42" spans="1:11" ht="380" customHeight="1" x14ac:dyDescent="0.15">
      <c r="A42" s="13">
        <v>2638</v>
      </c>
      <c r="B42" s="14" t="s">
        <v>128</v>
      </c>
      <c r="C42" s="15" t="s">
        <v>129</v>
      </c>
      <c r="D42" s="15" t="s">
        <v>130</v>
      </c>
      <c r="E42" s="16">
        <v>125</v>
      </c>
      <c r="F42" s="16">
        <v>125</v>
      </c>
      <c r="G42" s="16">
        <v>71</v>
      </c>
      <c r="H42" s="16">
        <v>130</v>
      </c>
      <c r="I42" s="16">
        <v>201</v>
      </c>
      <c r="J42" s="17">
        <v>7.9200000000000004E-6</v>
      </c>
      <c r="K42" s="6">
        <f t="shared" si="0"/>
        <v>1</v>
      </c>
    </row>
    <row r="43" spans="1:11" ht="404" customHeight="1" x14ac:dyDescent="0.15">
      <c r="A43" s="13">
        <v>6175</v>
      </c>
      <c r="B43" s="14" t="s">
        <v>131</v>
      </c>
      <c r="C43" s="15" t="s">
        <v>132</v>
      </c>
      <c r="D43" s="15" t="s">
        <v>133</v>
      </c>
      <c r="E43" s="16">
        <v>46</v>
      </c>
      <c r="F43" s="16">
        <v>92</v>
      </c>
      <c r="G43" s="16">
        <v>78</v>
      </c>
      <c r="H43" s="16">
        <v>157</v>
      </c>
      <c r="I43" s="16">
        <v>235</v>
      </c>
      <c r="J43" s="17">
        <v>7.8399999999999995E-6</v>
      </c>
      <c r="K43" s="6">
        <f t="shared" si="0"/>
        <v>0</v>
      </c>
    </row>
    <row r="44" spans="1:11" ht="320" customHeight="1" x14ac:dyDescent="0.15">
      <c r="A44" s="13">
        <v>5507</v>
      </c>
      <c r="B44" s="14" t="s">
        <v>134</v>
      </c>
      <c r="C44" s="15" t="s">
        <v>135</v>
      </c>
      <c r="D44" s="15" t="s">
        <v>136</v>
      </c>
      <c r="E44" s="16">
        <v>550</v>
      </c>
      <c r="F44" s="16">
        <v>550</v>
      </c>
      <c r="G44" s="16">
        <v>88</v>
      </c>
      <c r="H44" s="16">
        <v>140</v>
      </c>
      <c r="I44" s="16">
        <v>228</v>
      </c>
      <c r="J44" s="17">
        <v>7.3599999999999998E-6</v>
      </c>
      <c r="K44" s="6">
        <f t="shared" si="0"/>
        <v>1</v>
      </c>
    </row>
    <row r="45" spans="1:11" ht="212" customHeight="1" x14ac:dyDescent="0.15">
      <c r="A45" s="13">
        <v>5120</v>
      </c>
      <c r="B45" s="14" t="s">
        <v>137</v>
      </c>
      <c r="C45" s="15" t="s">
        <v>138</v>
      </c>
      <c r="D45" s="15" t="s">
        <v>139</v>
      </c>
      <c r="E45" s="16">
        <v>16</v>
      </c>
      <c r="F45" s="16">
        <v>16</v>
      </c>
      <c r="G45" s="16">
        <v>77</v>
      </c>
      <c r="H45" s="16">
        <v>104</v>
      </c>
      <c r="I45" s="16">
        <v>181</v>
      </c>
      <c r="J45" s="19">
        <v>5.6999999999999996E-6</v>
      </c>
      <c r="K45" s="6">
        <f t="shared" si="0"/>
        <v>1</v>
      </c>
    </row>
    <row r="46" spans="1:11" ht="224" customHeight="1" x14ac:dyDescent="0.15">
      <c r="A46" s="13">
        <v>4275</v>
      </c>
      <c r="B46" s="14" t="s">
        <v>140</v>
      </c>
      <c r="C46" s="15" t="s">
        <v>141</v>
      </c>
      <c r="D46" s="15" t="s">
        <v>142</v>
      </c>
      <c r="E46" s="16">
        <v>600</v>
      </c>
      <c r="F46" s="16">
        <v>600</v>
      </c>
      <c r="G46" s="16">
        <v>100</v>
      </c>
      <c r="H46" s="16">
        <v>141</v>
      </c>
      <c r="I46" s="16">
        <v>241</v>
      </c>
      <c r="J46" s="17">
        <v>7.6399999999999997E-6</v>
      </c>
      <c r="K46" s="6">
        <f t="shared" si="0"/>
        <v>1</v>
      </c>
    </row>
    <row r="47" spans="1:11" ht="284" customHeight="1" x14ac:dyDescent="0.15">
      <c r="A47" s="13">
        <v>6973</v>
      </c>
      <c r="B47" s="14" t="s">
        <v>143</v>
      </c>
      <c r="C47" s="15" t="s">
        <v>144</v>
      </c>
      <c r="D47" s="15" t="s">
        <v>145</v>
      </c>
      <c r="E47" s="16">
        <v>300</v>
      </c>
      <c r="F47" s="16">
        <v>300</v>
      </c>
      <c r="G47" s="16">
        <v>96</v>
      </c>
      <c r="H47" s="16">
        <v>137</v>
      </c>
      <c r="I47" s="16">
        <v>233</v>
      </c>
      <c r="J47" s="19">
        <v>7.4000000000000003E-6</v>
      </c>
      <c r="K47" s="6">
        <f t="shared" si="0"/>
        <v>1</v>
      </c>
    </row>
    <row r="48" spans="1:11" ht="409.5" customHeight="1" x14ac:dyDescent="0.15">
      <c r="A48" s="13">
        <v>7454</v>
      </c>
      <c r="B48" s="14" t="s">
        <v>146</v>
      </c>
      <c r="C48" s="15" t="s">
        <v>147</v>
      </c>
      <c r="D48" s="15" t="s">
        <v>148</v>
      </c>
      <c r="E48" s="16">
        <v>20</v>
      </c>
      <c r="F48" s="16">
        <v>20</v>
      </c>
      <c r="G48" s="16">
        <v>107</v>
      </c>
      <c r="H48" s="16">
        <v>212</v>
      </c>
      <c r="I48" s="16">
        <v>319</v>
      </c>
      <c r="J48" s="18">
        <v>2.2310000000000002E-5</v>
      </c>
      <c r="K48" s="6">
        <f t="shared" si="0"/>
        <v>1</v>
      </c>
    </row>
    <row r="49" spans="1:11" ht="236" customHeight="1" x14ac:dyDescent="0.15">
      <c r="A49" s="13">
        <v>3592</v>
      </c>
      <c r="B49" s="14" t="s">
        <v>149</v>
      </c>
      <c r="C49" s="15" t="s">
        <v>150</v>
      </c>
      <c r="D49" s="15" t="s">
        <v>151</v>
      </c>
      <c r="E49" s="16">
        <v>6</v>
      </c>
      <c r="F49" s="16">
        <v>6</v>
      </c>
      <c r="G49" s="16">
        <v>99</v>
      </c>
      <c r="H49" s="16">
        <v>110</v>
      </c>
      <c r="I49" s="16">
        <v>209</v>
      </c>
      <c r="J49" s="17">
        <v>6.3799999999999999E-6</v>
      </c>
      <c r="K49" s="6">
        <f t="shared" si="0"/>
        <v>1</v>
      </c>
    </row>
    <row r="50" spans="1:11" ht="368" customHeight="1" x14ac:dyDescent="0.15">
      <c r="A50" s="13">
        <v>5384</v>
      </c>
      <c r="B50" s="14" t="s">
        <v>152</v>
      </c>
      <c r="C50" s="15" t="s">
        <v>153</v>
      </c>
      <c r="D50" s="15" t="s">
        <v>154</v>
      </c>
      <c r="E50" s="16">
        <v>680</v>
      </c>
      <c r="F50" s="16">
        <v>680</v>
      </c>
      <c r="G50" s="16">
        <v>98</v>
      </c>
      <c r="H50" s="16">
        <v>188</v>
      </c>
      <c r="I50" s="16">
        <v>286</v>
      </c>
      <c r="J50" s="18">
        <v>1.136E-5</v>
      </c>
      <c r="K50" s="6">
        <f t="shared" si="0"/>
        <v>1</v>
      </c>
    </row>
    <row r="51" spans="1:11" ht="236" customHeight="1" x14ac:dyDescent="0.15">
      <c r="A51" s="13">
        <v>2877</v>
      </c>
      <c r="B51" s="14" t="s">
        <v>155</v>
      </c>
      <c r="C51" s="15" t="s">
        <v>156</v>
      </c>
      <c r="D51" s="15" t="s">
        <v>157</v>
      </c>
      <c r="E51" s="16">
        <v>20</v>
      </c>
      <c r="F51" s="16">
        <v>20</v>
      </c>
      <c r="G51" s="16">
        <v>114</v>
      </c>
      <c r="H51" s="16">
        <v>99</v>
      </c>
      <c r="I51" s="16">
        <v>213</v>
      </c>
      <c r="J51" s="17">
        <v>6.2400000000000004E-6</v>
      </c>
      <c r="K51" s="6">
        <f t="shared" si="0"/>
        <v>1</v>
      </c>
    </row>
    <row r="52" spans="1:11" ht="409.5" customHeight="1" x14ac:dyDescent="0.15">
      <c r="A52" s="13">
        <v>997</v>
      </c>
      <c r="B52" s="24" t="s">
        <v>158</v>
      </c>
      <c r="C52" s="15" t="s">
        <v>159</v>
      </c>
      <c r="D52" s="21" t="s">
        <v>160</v>
      </c>
      <c r="E52" s="16">
        <v>5</v>
      </c>
      <c r="F52" s="16">
        <v>4</v>
      </c>
      <c r="G52" s="16">
        <v>179</v>
      </c>
      <c r="H52" s="16">
        <v>252</v>
      </c>
      <c r="I52" s="16">
        <v>431</v>
      </c>
      <c r="J52" s="18">
        <v>1.6180000000000001E-5</v>
      </c>
      <c r="K52" s="6">
        <f t="shared" si="0"/>
        <v>0</v>
      </c>
    </row>
    <row r="53" spans="1:11" ht="332" customHeight="1" x14ac:dyDescent="0.15">
      <c r="A53" s="13">
        <v>1042</v>
      </c>
      <c r="B53" s="14" t="s">
        <v>161</v>
      </c>
      <c r="C53" s="15" t="s">
        <v>162</v>
      </c>
      <c r="D53" s="15" t="s">
        <v>163</v>
      </c>
      <c r="E53" s="16">
        <v>28</v>
      </c>
      <c r="F53" s="16">
        <v>28</v>
      </c>
      <c r="G53" s="16">
        <v>89</v>
      </c>
      <c r="H53" s="16">
        <v>171</v>
      </c>
      <c r="I53" s="16">
        <v>260</v>
      </c>
      <c r="J53" s="18">
        <v>1.0329999999999999E-5</v>
      </c>
      <c r="K53" s="6">
        <f t="shared" si="0"/>
        <v>1</v>
      </c>
    </row>
    <row r="54" spans="1:11" ht="409.5" customHeight="1" x14ac:dyDescent="0.15">
      <c r="A54" s="13">
        <v>6394</v>
      </c>
      <c r="B54" s="14" t="s">
        <v>164</v>
      </c>
      <c r="C54" s="15" t="s">
        <v>165</v>
      </c>
      <c r="D54" s="15" t="s">
        <v>166</v>
      </c>
      <c r="E54" s="16">
        <v>48</v>
      </c>
      <c r="F54" s="16">
        <v>48</v>
      </c>
      <c r="G54" s="16">
        <v>94</v>
      </c>
      <c r="H54" s="16">
        <v>248</v>
      </c>
      <c r="I54" s="16">
        <v>342</v>
      </c>
      <c r="J54" s="17">
        <v>1.1800000000000001E-5</v>
      </c>
      <c r="K54" s="6">
        <f t="shared" si="0"/>
        <v>1</v>
      </c>
    </row>
    <row r="55" spans="1:11" ht="404" customHeight="1" x14ac:dyDescent="0.15">
      <c r="A55" s="13">
        <v>6558</v>
      </c>
      <c r="B55" s="14" t="s">
        <v>167</v>
      </c>
      <c r="C55" s="15" t="s">
        <v>168</v>
      </c>
      <c r="D55" s="15" t="s">
        <v>169</v>
      </c>
      <c r="E55" s="16">
        <v>15</v>
      </c>
      <c r="F55" s="16">
        <v>15</v>
      </c>
      <c r="G55" s="16">
        <v>71</v>
      </c>
      <c r="H55" s="16">
        <v>172</v>
      </c>
      <c r="I55" s="16">
        <v>243</v>
      </c>
      <c r="J55" s="19">
        <v>8.3000000000000002E-6</v>
      </c>
      <c r="K55" s="6">
        <f t="shared" si="0"/>
        <v>1</v>
      </c>
    </row>
    <row r="56" spans="1:11" ht="260" customHeight="1" x14ac:dyDescent="0.15">
      <c r="A56" s="13">
        <v>2022</v>
      </c>
      <c r="B56" s="14" t="s">
        <v>170</v>
      </c>
      <c r="C56" s="15" t="s">
        <v>171</v>
      </c>
      <c r="D56" s="15" t="s">
        <v>172</v>
      </c>
      <c r="E56" s="16">
        <v>4</v>
      </c>
      <c r="F56" s="16">
        <v>4</v>
      </c>
      <c r="G56" s="16">
        <v>121</v>
      </c>
      <c r="H56" s="16">
        <v>122</v>
      </c>
      <c r="I56" s="16">
        <v>243</v>
      </c>
      <c r="J56" s="17">
        <v>8.5199999999999997E-6</v>
      </c>
      <c r="K56" s="6">
        <f t="shared" si="0"/>
        <v>1</v>
      </c>
    </row>
    <row r="57" spans="1:11" ht="332" customHeight="1" x14ac:dyDescent="0.15">
      <c r="A57" s="13">
        <v>7119</v>
      </c>
      <c r="B57" s="14" t="s">
        <v>173</v>
      </c>
      <c r="C57" s="15" t="s">
        <v>174</v>
      </c>
      <c r="D57" s="15" t="s">
        <v>175</v>
      </c>
      <c r="E57" s="16">
        <v>7</v>
      </c>
      <c r="F57" s="16">
        <v>7</v>
      </c>
      <c r="G57" s="16">
        <v>121</v>
      </c>
      <c r="H57" s="16">
        <v>151</v>
      </c>
      <c r="I57" s="16">
        <v>272</v>
      </c>
      <c r="J57" s="17">
        <v>8.4600000000000003E-6</v>
      </c>
      <c r="K57" s="6">
        <f t="shared" si="0"/>
        <v>1</v>
      </c>
    </row>
    <row r="58" spans="1:11" ht="308" customHeight="1" x14ac:dyDescent="0.15">
      <c r="A58" s="13">
        <v>3017</v>
      </c>
      <c r="B58" s="14" t="s">
        <v>176</v>
      </c>
      <c r="C58" s="15" t="s">
        <v>177</v>
      </c>
      <c r="D58" s="15" t="s">
        <v>178</v>
      </c>
      <c r="E58" s="16">
        <v>4</v>
      </c>
      <c r="F58" s="16">
        <v>4</v>
      </c>
      <c r="G58" s="16">
        <v>88</v>
      </c>
      <c r="H58" s="16">
        <v>148</v>
      </c>
      <c r="I58" s="16">
        <v>236</v>
      </c>
      <c r="J58" s="17">
        <v>9.1600000000000004E-6</v>
      </c>
      <c r="K58" s="6">
        <f t="shared" si="0"/>
        <v>1</v>
      </c>
    </row>
    <row r="59" spans="1:11" ht="344" customHeight="1" x14ac:dyDescent="0.15">
      <c r="A59" s="13">
        <v>6888</v>
      </c>
      <c r="B59" s="14" t="s">
        <v>179</v>
      </c>
      <c r="C59" s="15" t="s">
        <v>180</v>
      </c>
      <c r="D59" s="15" t="s">
        <v>181</v>
      </c>
      <c r="E59" s="16">
        <v>2</v>
      </c>
      <c r="F59" s="16">
        <v>2</v>
      </c>
      <c r="G59" s="16">
        <v>101</v>
      </c>
      <c r="H59" s="16">
        <v>184</v>
      </c>
      <c r="I59" s="16">
        <v>285</v>
      </c>
      <c r="J59" s="18">
        <v>1.1219999999999999E-5</v>
      </c>
      <c r="K59" s="6">
        <f t="shared" si="0"/>
        <v>1</v>
      </c>
    </row>
    <row r="60" spans="1:11" ht="344" customHeight="1" x14ac:dyDescent="0.15">
      <c r="A60" s="13">
        <v>6750</v>
      </c>
      <c r="B60" s="14" t="s">
        <v>182</v>
      </c>
      <c r="C60" s="15" t="s">
        <v>183</v>
      </c>
      <c r="D60" s="15" t="s">
        <v>184</v>
      </c>
      <c r="E60" s="16">
        <v>13</v>
      </c>
      <c r="F60" s="16">
        <v>13</v>
      </c>
      <c r="G60" s="16">
        <v>111</v>
      </c>
      <c r="H60" s="16">
        <v>144</v>
      </c>
      <c r="I60" s="16">
        <v>255</v>
      </c>
      <c r="J60" s="17">
        <v>9.4199999999999996E-6</v>
      </c>
      <c r="K60" s="6">
        <f t="shared" si="0"/>
        <v>1</v>
      </c>
    </row>
    <row r="61" spans="1:11" ht="409.5" customHeight="1" x14ac:dyDescent="0.15">
      <c r="A61" s="13">
        <v>1894</v>
      </c>
      <c r="B61" s="14" t="s">
        <v>185</v>
      </c>
      <c r="C61" s="15" t="s">
        <v>186</v>
      </c>
      <c r="D61" s="15" t="s">
        <v>187</v>
      </c>
      <c r="E61" s="16">
        <v>4</v>
      </c>
      <c r="F61" s="16">
        <v>4</v>
      </c>
      <c r="G61" s="16">
        <v>182</v>
      </c>
      <c r="H61" s="16">
        <v>443</v>
      </c>
      <c r="I61" s="16">
        <v>625</v>
      </c>
      <c r="J61" s="18">
        <v>2.1359999999999999E-5</v>
      </c>
      <c r="K61" s="6">
        <f t="shared" si="0"/>
        <v>1</v>
      </c>
    </row>
    <row r="62" spans="1:11" ht="212" customHeight="1" x14ac:dyDescent="0.15">
      <c r="A62" s="13">
        <v>6281</v>
      </c>
      <c r="B62" s="14" t="s">
        <v>188</v>
      </c>
      <c r="C62" s="15" t="s">
        <v>189</v>
      </c>
      <c r="D62" s="15" t="s">
        <v>190</v>
      </c>
      <c r="E62" s="16">
        <v>16</v>
      </c>
      <c r="F62" s="16">
        <v>16</v>
      </c>
      <c r="G62" s="16">
        <v>82</v>
      </c>
      <c r="H62" s="16">
        <v>123</v>
      </c>
      <c r="I62" s="16">
        <v>205</v>
      </c>
      <c r="J62" s="17">
        <v>6.5599999999999999E-6</v>
      </c>
      <c r="K62" s="6">
        <f t="shared" si="0"/>
        <v>1</v>
      </c>
    </row>
    <row r="63" spans="1:11" ht="409.5" customHeight="1" x14ac:dyDescent="0.15">
      <c r="A63" s="13">
        <v>1886</v>
      </c>
      <c r="B63" s="14" t="s">
        <v>191</v>
      </c>
      <c r="C63" s="15" t="s">
        <v>192</v>
      </c>
      <c r="D63" s="15" t="s">
        <v>193</v>
      </c>
      <c r="E63" s="16">
        <v>5</v>
      </c>
      <c r="F63" s="16">
        <v>5</v>
      </c>
      <c r="G63" s="16">
        <v>92</v>
      </c>
      <c r="H63" s="16">
        <v>174</v>
      </c>
      <c r="I63" s="16">
        <v>266</v>
      </c>
      <c r="J63" s="19">
        <v>8.8000000000000004E-6</v>
      </c>
      <c r="K63" s="6">
        <f t="shared" si="0"/>
        <v>1</v>
      </c>
    </row>
    <row r="64" spans="1:11" ht="404" customHeight="1" x14ac:dyDescent="0.15">
      <c r="A64" s="13">
        <v>3875</v>
      </c>
      <c r="B64" s="14" t="s">
        <v>194</v>
      </c>
      <c r="C64" s="15" t="s">
        <v>195</v>
      </c>
      <c r="D64" s="15" t="s">
        <v>196</v>
      </c>
      <c r="E64" s="16">
        <v>2</v>
      </c>
      <c r="F64" s="16">
        <v>2</v>
      </c>
      <c r="G64" s="16">
        <v>150</v>
      </c>
      <c r="H64" s="16">
        <v>235</v>
      </c>
      <c r="I64" s="16">
        <v>385</v>
      </c>
      <c r="J64" s="18">
        <v>1.4749999999999999E-5</v>
      </c>
      <c r="K64" s="6">
        <f t="shared" si="0"/>
        <v>1</v>
      </c>
    </row>
    <row r="65" spans="1:11" ht="248" customHeight="1" x14ac:dyDescent="0.15">
      <c r="A65" s="13">
        <v>2664</v>
      </c>
      <c r="B65" s="14" t="s">
        <v>197</v>
      </c>
      <c r="C65" s="15" t="s">
        <v>198</v>
      </c>
      <c r="D65" s="15" t="s">
        <v>199</v>
      </c>
      <c r="E65" s="16">
        <v>9</v>
      </c>
      <c r="F65" s="16">
        <v>9</v>
      </c>
      <c r="G65" s="16">
        <v>75</v>
      </c>
      <c r="H65" s="16">
        <v>111</v>
      </c>
      <c r="I65" s="16">
        <v>186</v>
      </c>
      <c r="J65" s="17">
        <v>5.9399999999999999E-6</v>
      </c>
      <c r="K65" s="6">
        <f t="shared" si="0"/>
        <v>1</v>
      </c>
    </row>
    <row r="66" spans="1:11" ht="332" customHeight="1" x14ac:dyDescent="0.15">
      <c r="A66" s="13">
        <v>3955</v>
      </c>
      <c r="B66" s="14" t="s">
        <v>200</v>
      </c>
      <c r="C66" s="15" t="s">
        <v>201</v>
      </c>
      <c r="D66" s="15" t="s">
        <v>202</v>
      </c>
      <c r="E66" s="16">
        <v>2</v>
      </c>
      <c r="F66" s="16">
        <v>2</v>
      </c>
      <c r="G66" s="16">
        <v>110</v>
      </c>
      <c r="H66" s="16">
        <v>153</v>
      </c>
      <c r="I66" s="16">
        <v>263</v>
      </c>
      <c r="J66" s="17">
        <v>8.32E-6</v>
      </c>
      <c r="K66" s="6">
        <f t="shared" si="0"/>
        <v>1</v>
      </c>
    </row>
    <row r="67" spans="1:11" ht="236" customHeight="1" x14ac:dyDescent="0.15">
      <c r="A67" s="13">
        <v>2540</v>
      </c>
      <c r="B67" s="14" t="s">
        <v>203</v>
      </c>
      <c r="C67" s="15" t="s">
        <v>204</v>
      </c>
      <c r="D67" s="15" t="s">
        <v>205</v>
      </c>
      <c r="E67" s="16">
        <v>8000</v>
      </c>
      <c r="F67" s="16">
        <v>8000</v>
      </c>
      <c r="G67" s="16">
        <v>84</v>
      </c>
      <c r="H67" s="16">
        <v>119</v>
      </c>
      <c r="I67" s="16">
        <v>203</v>
      </c>
      <c r="J67" s="17">
        <v>7.6299999999999998E-6</v>
      </c>
      <c r="K67" s="6">
        <f t="shared" si="0"/>
        <v>1</v>
      </c>
    </row>
    <row r="68" spans="1:11" ht="284" customHeight="1" x14ac:dyDescent="0.15">
      <c r="A68" s="13">
        <v>5661</v>
      </c>
      <c r="B68" s="14" t="s">
        <v>206</v>
      </c>
      <c r="C68" s="15" t="s">
        <v>207</v>
      </c>
      <c r="D68" s="15" t="s">
        <v>208</v>
      </c>
      <c r="E68" s="16">
        <v>420</v>
      </c>
      <c r="F68" s="16">
        <v>420</v>
      </c>
      <c r="G68" s="16">
        <v>98</v>
      </c>
      <c r="H68" s="16">
        <v>137</v>
      </c>
      <c r="I68" s="16">
        <v>235</v>
      </c>
      <c r="J68" s="17">
        <v>8.8100000000000004E-6</v>
      </c>
      <c r="K68" s="6">
        <f t="shared" si="0"/>
        <v>1</v>
      </c>
    </row>
    <row r="69" spans="1:11" ht="392" customHeight="1" x14ac:dyDescent="0.15">
      <c r="A69" s="13">
        <v>5921</v>
      </c>
      <c r="B69" s="14" t="s">
        <v>209</v>
      </c>
      <c r="C69" s="15" t="s">
        <v>210</v>
      </c>
      <c r="D69" s="15" t="s">
        <v>211</v>
      </c>
      <c r="E69" s="16">
        <v>10</v>
      </c>
      <c r="F69" s="16">
        <v>10</v>
      </c>
      <c r="G69" s="16">
        <v>136</v>
      </c>
      <c r="H69" s="16">
        <v>158</v>
      </c>
      <c r="I69" s="16">
        <v>294</v>
      </c>
      <c r="J69" s="17">
        <v>9.0399999999999998E-6</v>
      </c>
      <c r="K69" s="6">
        <f t="shared" si="0"/>
        <v>1</v>
      </c>
    </row>
    <row r="70" spans="1:11" ht="284" customHeight="1" x14ac:dyDescent="0.15">
      <c r="A70" s="13">
        <v>132</v>
      </c>
      <c r="B70" s="14" t="s">
        <v>212</v>
      </c>
      <c r="C70" s="15" t="s">
        <v>213</v>
      </c>
      <c r="D70" s="15" t="s">
        <v>214</v>
      </c>
      <c r="E70" s="16">
        <v>110</v>
      </c>
      <c r="F70" s="16">
        <v>110</v>
      </c>
      <c r="G70" s="16">
        <v>97</v>
      </c>
      <c r="H70" s="16">
        <v>139</v>
      </c>
      <c r="I70" s="16">
        <v>236</v>
      </c>
      <c r="J70" s="18">
        <v>1.5970000000000001E-5</v>
      </c>
      <c r="K70" s="6">
        <f t="shared" ref="K70:K133" si="1">IF(OR(ISBLANK(E70), ISBLANK(F70)), 0, IF(E70=F70, 1, 0))</f>
        <v>1</v>
      </c>
    </row>
    <row r="71" spans="1:11" ht="356" customHeight="1" x14ac:dyDescent="0.15">
      <c r="A71" s="13">
        <v>1084</v>
      </c>
      <c r="B71" s="14" t="s">
        <v>215</v>
      </c>
      <c r="C71" s="15" t="s">
        <v>216</v>
      </c>
      <c r="D71" s="15" t="s">
        <v>217</v>
      </c>
      <c r="E71" s="16">
        <v>8</v>
      </c>
      <c r="F71" s="16">
        <v>8</v>
      </c>
      <c r="G71" s="16">
        <v>89</v>
      </c>
      <c r="H71" s="16">
        <v>173</v>
      </c>
      <c r="I71" s="16">
        <v>262</v>
      </c>
      <c r="J71" s="19">
        <v>8.6999999999999997E-6</v>
      </c>
      <c r="K71" s="6">
        <f t="shared" si="1"/>
        <v>1</v>
      </c>
    </row>
    <row r="72" spans="1:11" ht="409" customHeight="1" x14ac:dyDescent="0.15">
      <c r="A72" s="13">
        <v>4696</v>
      </c>
      <c r="B72" s="24" t="s">
        <v>218</v>
      </c>
      <c r="C72" s="15" t="s">
        <v>219</v>
      </c>
      <c r="D72" s="21" t="s">
        <v>1509</v>
      </c>
      <c r="E72" s="16">
        <v>195</v>
      </c>
      <c r="F72" s="16">
        <v>195</v>
      </c>
      <c r="G72" s="16">
        <v>101</v>
      </c>
      <c r="H72" s="16">
        <v>207</v>
      </c>
      <c r="I72" s="16">
        <v>308</v>
      </c>
      <c r="J72" s="17">
        <v>1.03E-5</v>
      </c>
      <c r="K72" s="6">
        <f t="shared" si="1"/>
        <v>1</v>
      </c>
    </row>
    <row r="73" spans="1:11" ht="409.5" customHeight="1" x14ac:dyDescent="0.15">
      <c r="A73" s="13">
        <v>169</v>
      </c>
      <c r="B73" s="14" t="s">
        <v>220</v>
      </c>
      <c r="C73" s="15" t="s">
        <v>221</v>
      </c>
      <c r="D73" s="15" t="s">
        <v>222</v>
      </c>
      <c r="E73" s="16">
        <v>216</v>
      </c>
      <c r="F73" s="16">
        <v>216</v>
      </c>
      <c r="G73" s="16">
        <v>84</v>
      </c>
      <c r="H73" s="16">
        <v>209</v>
      </c>
      <c r="I73" s="16">
        <v>293</v>
      </c>
      <c r="J73" s="18">
        <v>1.2130000000000001E-5</v>
      </c>
      <c r="K73" s="6">
        <f t="shared" si="1"/>
        <v>1</v>
      </c>
    </row>
    <row r="74" spans="1:11" ht="344" customHeight="1" x14ac:dyDescent="0.15">
      <c r="A74" s="13">
        <v>465</v>
      </c>
      <c r="B74" s="14" t="s">
        <v>223</v>
      </c>
      <c r="C74" s="15" t="s">
        <v>224</v>
      </c>
      <c r="D74" s="15" t="s">
        <v>225</v>
      </c>
      <c r="E74" s="16">
        <v>5</v>
      </c>
      <c r="F74" s="16">
        <v>5</v>
      </c>
      <c r="G74" s="16">
        <v>143</v>
      </c>
      <c r="H74" s="16">
        <v>154</v>
      </c>
      <c r="I74" s="16">
        <v>297</v>
      </c>
      <c r="J74" s="18">
        <v>1.0560000000000001E-5</v>
      </c>
      <c r="K74" s="6">
        <f t="shared" si="1"/>
        <v>1</v>
      </c>
    </row>
    <row r="75" spans="1:11" ht="409.5" customHeight="1" x14ac:dyDescent="0.15">
      <c r="A75" s="13">
        <v>468</v>
      </c>
      <c r="B75" s="14" t="s">
        <v>226</v>
      </c>
      <c r="C75" s="15" t="s">
        <v>227</v>
      </c>
      <c r="D75" s="15" t="s">
        <v>228</v>
      </c>
      <c r="E75" s="16">
        <v>504</v>
      </c>
      <c r="F75" s="16">
        <v>504</v>
      </c>
      <c r="G75" s="16">
        <v>124</v>
      </c>
      <c r="H75" s="16">
        <v>225</v>
      </c>
      <c r="I75" s="16">
        <v>349</v>
      </c>
      <c r="J75" s="18">
        <v>1.148E-5</v>
      </c>
      <c r="K75" s="6">
        <f t="shared" si="1"/>
        <v>1</v>
      </c>
    </row>
    <row r="76" spans="1:11" ht="356" customHeight="1" x14ac:dyDescent="0.15">
      <c r="A76" s="13">
        <v>5328</v>
      </c>
      <c r="B76" s="24" t="s">
        <v>229</v>
      </c>
      <c r="C76" s="15" t="s">
        <v>230</v>
      </c>
      <c r="D76" s="21" t="s">
        <v>1510</v>
      </c>
      <c r="E76" s="16">
        <v>33</v>
      </c>
      <c r="F76" s="16">
        <v>33</v>
      </c>
      <c r="G76" s="16">
        <v>121</v>
      </c>
      <c r="H76" s="16">
        <v>151</v>
      </c>
      <c r="I76" s="16">
        <v>272</v>
      </c>
      <c r="J76" s="17">
        <v>9.9699999999999994E-6</v>
      </c>
      <c r="K76" s="6">
        <f t="shared" si="1"/>
        <v>1</v>
      </c>
    </row>
    <row r="77" spans="1:11" ht="368" customHeight="1" x14ac:dyDescent="0.15">
      <c r="A77" s="13">
        <v>457</v>
      </c>
      <c r="B77" s="24" t="s">
        <v>231</v>
      </c>
      <c r="C77" s="15" t="s">
        <v>232</v>
      </c>
      <c r="D77" s="21" t="s">
        <v>1512</v>
      </c>
      <c r="E77" s="16">
        <v>324</v>
      </c>
      <c r="F77" s="16">
        <v>324</v>
      </c>
      <c r="G77" s="16">
        <v>113</v>
      </c>
      <c r="H77" s="16">
        <v>199</v>
      </c>
      <c r="I77" s="16">
        <v>312</v>
      </c>
      <c r="J77" s="18">
        <v>1.221E-5</v>
      </c>
      <c r="K77" s="6">
        <f t="shared" si="1"/>
        <v>1</v>
      </c>
    </row>
    <row r="78" spans="1:11" ht="409.5" customHeight="1" x14ac:dyDescent="0.15">
      <c r="A78" s="13">
        <v>6093</v>
      </c>
      <c r="B78" s="14" t="s">
        <v>233</v>
      </c>
      <c r="C78" s="15" t="s">
        <v>234</v>
      </c>
      <c r="D78" s="15" t="s">
        <v>235</v>
      </c>
      <c r="E78" s="16">
        <v>45</v>
      </c>
      <c r="F78" s="16">
        <v>45</v>
      </c>
      <c r="G78" s="16">
        <v>98</v>
      </c>
      <c r="H78" s="16">
        <v>222</v>
      </c>
      <c r="I78" s="16">
        <v>320</v>
      </c>
      <c r="J78" s="18">
        <v>1.084E-5</v>
      </c>
      <c r="K78" s="6">
        <f t="shared" si="1"/>
        <v>1</v>
      </c>
    </row>
    <row r="79" spans="1:11" ht="284" customHeight="1" x14ac:dyDescent="0.15">
      <c r="A79" s="13">
        <v>6280</v>
      </c>
      <c r="B79" s="14" t="s">
        <v>236</v>
      </c>
      <c r="C79" s="15" t="s">
        <v>237</v>
      </c>
      <c r="D79" s="15" t="s">
        <v>238</v>
      </c>
      <c r="E79" s="16">
        <v>50</v>
      </c>
      <c r="F79" s="16">
        <v>50</v>
      </c>
      <c r="G79" s="16">
        <v>97</v>
      </c>
      <c r="H79" s="16">
        <v>116</v>
      </c>
      <c r="I79" s="16">
        <v>213</v>
      </c>
      <c r="J79" s="17">
        <v>6.5799999999999997E-6</v>
      </c>
      <c r="K79" s="6">
        <f t="shared" si="1"/>
        <v>1</v>
      </c>
    </row>
    <row r="80" spans="1:11" ht="409.5" customHeight="1" x14ac:dyDescent="0.15">
      <c r="A80" s="13">
        <v>6637</v>
      </c>
      <c r="B80" s="14" t="s">
        <v>239</v>
      </c>
      <c r="C80" s="15" t="s">
        <v>240</v>
      </c>
      <c r="D80" s="15" t="s">
        <v>241</v>
      </c>
      <c r="E80" s="16">
        <v>1600</v>
      </c>
      <c r="F80" s="16">
        <v>1600</v>
      </c>
      <c r="G80" s="16">
        <v>73</v>
      </c>
      <c r="H80" s="16">
        <v>186</v>
      </c>
      <c r="I80" s="16">
        <v>259</v>
      </c>
      <c r="J80" s="18">
        <v>1.076E-5</v>
      </c>
      <c r="K80" s="6">
        <f t="shared" si="1"/>
        <v>1</v>
      </c>
    </row>
    <row r="81" spans="1:11" ht="284" customHeight="1" x14ac:dyDescent="0.15">
      <c r="A81" s="13">
        <v>3685</v>
      </c>
      <c r="B81" s="14" t="s">
        <v>242</v>
      </c>
      <c r="C81" s="15" t="s">
        <v>243</v>
      </c>
      <c r="D81" s="15" t="s">
        <v>244</v>
      </c>
      <c r="E81" s="16">
        <v>307</v>
      </c>
      <c r="F81" s="16">
        <v>307</v>
      </c>
      <c r="G81" s="16">
        <v>79</v>
      </c>
      <c r="H81" s="16">
        <v>125</v>
      </c>
      <c r="I81" s="16">
        <v>204</v>
      </c>
      <c r="J81" s="17">
        <v>6.5799999999999997E-6</v>
      </c>
      <c r="K81" s="6">
        <f t="shared" si="1"/>
        <v>1</v>
      </c>
    </row>
    <row r="82" spans="1:11" ht="284" customHeight="1" x14ac:dyDescent="0.15">
      <c r="A82" s="13">
        <v>3143</v>
      </c>
      <c r="B82" s="14" t="s">
        <v>245</v>
      </c>
      <c r="C82" s="15" t="s">
        <v>246</v>
      </c>
      <c r="D82" s="15" t="s">
        <v>247</v>
      </c>
      <c r="E82" s="16">
        <v>25</v>
      </c>
      <c r="F82" s="16">
        <v>25</v>
      </c>
      <c r="G82" s="16">
        <v>111</v>
      </c>
      <c r="H82" s="16">
        <v>138</v>
      </c>
      <c r="I82" s="16">
        <v>249</v>
      </c>
      <c r="J82" s="17">
        <v>7.7400000000000004E-6</v>
      </c>
      <c r="K82" s="6">
        <f t="shared" si="1"/>
        <v>1</v>
      </c>
    </row>
    <row r="83" spans="1:11" ht="356" customHeight="1" x14ac:dyDescent="0.15">
      <c r="A83" s="13">
        <v>1022</v>
      </c>
      <c r="B83" s="14" t="s">
        <v>248</v>
      </c>
      <c r="C83" s="15" t="s">
        <v>249</v>
      </c>
      <c r="D83" s="15" t="s">
        <v>250</v>
      </c>
      <c r="E83" s="16">
        <v>19</v>
      </c>
      <c r="F83" s="16">
        <v>19</v>
      </c>
      <c r="G83" s="16">
        <v>68</v>
      </c>
      <c r="H83" s="16">
        <v>138</v>
      </c>
      <c r="I83" s="16">
        <v>206</v>
      </c>
      <c r="J83" s="17">
        <v>8.2600000000000005E-6</v>
      </c>
      <c r="K83" s="6">
        <f t="shared" si="1"/>
        <v>1</v>
      </c>
    </row>
    <row r="84" spans="1:11" ht="224" customHeight="1" x14ac:dyDescent="0.15">
      <c r="A84" s="13">
        <v>2942</v>
      </c>
      <c r="B84" s="14" t="s">
        <v>251</v>
      </c>
      <c r="C84" s="15" t="s">
        <v>252</v>
      </c>
      <c r="D84" s="15" t="s">
        <v>253</v>
      </c>
      <c r="E84" s="16">
        <v>9000</v>
      </c>
      <c r="F84" s="16">
        <v>9000</v>
      </c>
      <c r="G84" s="16">
        <v>88</v>
      </c>
      <c r="H84" s="16">
        <v>98</v>
      </c>
      <c r="I84" s="16">
        <v>186</v>
      </c>
      <c r="J84" s="17">
        <v>6.6599999999999998E-6</v>
      </c>
      <c r="K84" s="6">
        <f t="shared" si="1"/>
        <v>1</v>
      </c>
    </row>
    <row r="85" spans="1:11" ht="212" customHeight="1" x14ac:dyDescent="0.15">
      <c r="A85" s="13">
        <v>3043</v>
      </c>
      <c r="B85" s="14" t="s">
        <v>254</v>
      </c>
      <c r="C85" s="15" t="s">
        <v>255</v>
      </c>
      <c r="D85" s="15" t="s">
        <v>256</v>
      </c>
      <c r="E85" s="16">
        <v>28</v>
      </c>
      <c r="F85" s="16">
        <v>28</v>
      </c>
      <c r="G85" s="16">
        <v>90</v>
      </c>
      <c r="H85" s="16">
        <v>87</v>
      </c>
      <c r="I85" s="16">
        <v>177</v>
      </c>
      <c r="J85" s="17">
        <v>5.2800000000000003E-6</v>
      </c>
      <c r="K85" s="6">
        <f t="shared" si="1"/>
        <v>1</v>
      </c>
    </row>
    <row r="86" spans="1:11" ht="368" customHeight="1" x14ac:dyDescent="0.15">
      <c r="A86" s="13">
        <v>4789</v>
      </c>
      <c r="B86" s="24" t="s">
        <v>257</v>
      </c>
      <c r="C86" s="15" t="s">
        <v>258</v>
      </c>
      <c r="D86" s="21" t="s">
        <v>1511</v>
      </c>
      <c r="E86" s="16">
        <v>9</v>
      </c>
      <c r="F86" s="16">
        <v>9</v>
      </c>
      <c r="G86" s="16">
        <v>128</v>
      </c>
      <c r="H86" s="16">
        <v>152</v>
      </c>
      <c r="I86" s="16">
        <v>280</v>
      </c>
      <c r="J86" s="17">
        <v>8.6400000000000003E-6</v>
      </c>
      <c r="K86" s="6">
        <f t="shared" si="1"/>
        <v>1</v>
      </c>
    </row>
    <row r="87" spans="1:11" ht="368" customHeight="1" x14ac:dyDescent="0.15">
      <c r="A87" s="13">
        <v>4634</v>
      </c>
      <c r="B87" s="14" t="s">
        <v>259</v>
      </c>
      <c r="C87" s="15" t="s">
        <v>260</v>
      </c>
      <c r="D87" s="21" t="s">
        <v>1494</v>
      </c>
      <c r="E87" s="16">
        <v>9824</v>
      </c>
      <c r="F87" s="16">
        <v>9724</v>
      </c>
      <c r="G87" s="16">
        <v>75</v>
      </c>
      <c r="H87" s="16">
        <v>148</v>
      </c>
      <c r="I87" s="16">
        <v>223</v>
      </c>
      <c r="J87" s="19">
        <v>8.8999999999999995E-6</v>
      </c>
      <c r="K87" s="6">
        <f t="shared" si="1"/>
        <v>0</v>
      </c>
    </row>
    <row r="88" spans="1:11" ht="308" customHeight="1" x14ac:dyDescent="0.15">
      <c r="A88" s="13">
        <v>230</v>
      </c>
      <c r="B88" s="14" t="s">
        <v>261</v>
      </c>
      <c r="C88" s="15" t="s">
        <v>262</v>
      </c>
      <c r="D88" s="15" t="s">
        <v>263</v>
      </c>
      <c r="E88" s="16">
        <v>30</v>
      </c>
      <c r="F88" s="16">
        <v>60</v>
      </c>
      <c r="G88" s="16">
        <v>113</v>
      </c>
      <c r="H88" s="16">
        <v>182</v>
      </c>
      <c r="I88" s="16">
        <v>295</v>
      </c>
      <c r="J88" s="18">
        <v>1.136E-5</v>
      </c>
      <c r="K88" s="6">
        <f t="shared" si="1"/>
        <v>0</v>
      </c>
    </row>
    <row r="89" spans="1:11" ht="224" customHeight="1" x14ac:dyDescent="0.15">
      <c r="A89" s="13">
        <v>7048</v>
      </c>
      <c r="B89" s="14" t="s">
        <v>264</v>
      </c>
      <c r="C89" s="15" t="s">
        <v>265</v>
      </c>
      <c r="D89" s="15" t="s">
        <v>266</v>
      </c>
      <c r="E89" s="16">
        <v>5</v>
      </c>
      <c r="F89" s="16">
        <v>5</v>
      </c>
      <c r="G89" s="16">
        <v>74</v>
      </c>
      <c r="H89" s="16">
        <v>101</v>
      </c>
      <c r="I89" s="16">
        <v>175</v>
      </c>
      <c r="J89" s="17">
        <v>5.5199999999999997E-6</v>
      </c>
      <c r="K89" s="6">
        <f t="shared" si="1"/>
        <v>1</v>
      </c>
    </row>
    <row r="90" spans="1:11" ht="409.5" customHeight="1" x14ac:dyDescent="0.15">
      <c r="A90" s="13">
        <v>1656</v>
      </c>
      <c r="B90" s="14" t="s">
        <v>267</v>
      </c>
      <c r="C90" s="15" t="s">
        <v>268</v>
      </c>
      <c r="D90" s="15" t="s">
        <v>269</v>
      </c>
      <c r="E90" s="16">
        <v>400</v>
      </c>
      <c r="F90" s="16">
        <v>400</v>
      </c>
      <c r="G90" s="16">
        <v>145</v>
      </c>
      <c r="H90" s="16">
        <v>210</v>
      </c>
      <c r="I90" s="16">
        <v>355</v>
      </c>
      <c r="J90" s="18">
        <v>2.4049999999999998E-5</v>
      </c>
      <c r="K90" s="6">
        <f t="shared" si="1"/>
        <v>1</v>
      </c>
    </row>
    <row r="91" spans="1:11" ht="332" customHeight="1" x14ac:dyDescent="0.15">
      <c r="A91" s="13">
        <v>4100</v>
      </c>
      <c r="B91" s="14" t="s">
        <v>270</v>
      </c>
      <c r="C91" s="15" t="s">
        <v>271</v>
      </c>
      <c r="D91" s="21" t="s">
        <v>272</v>
      </c>
      <c r="E91" s="16">
        <v>0.5</v>
      </c>
      <c r="F91" s="16">
        <v>6</v>
      </c>
      <c r="G91" s="16">
        <v>103</v>
      </c>
      <c r="H91" s="16">
        <v>141</v>
      </c>
      <c r="I91" s="16">
        <v>244</v>
      </c>
      <c r="J91" s="17">
        <v>9.1099999999999992E-6</v>
      </c>
      <c r="K91" s="6">
        <f t="shared" si="1"/>
        <v>0</v>
      </c>
    </row>
    <row r="92" spans="1:11" ht="272" customHeight="1" x14ac:dyDescent="0.15">
      <c r="A92" s="13">
        <v>3357</v>
      </c>
      <c r="B92" s="14" t="s">
        <v>273</v>
      </c>
      <c r="C92" s="15" t="s">
        <v>274</v>
      </c>
      <c r="D92" s="15" t="s">
        <v>275</v>
      </c>
      <c r="E92" s="16">
        <v>10</v>
      </c>
      <c r="F92" s="16">
        <v>10</v>
      </c>
      <c r="G92" s="16">
        <v>79</v>
      </c>
      <c r="H92" s="16">
        <v>117</v>
      </c>
      <c r="I92" s="16">
        <v>196</v>
      </c>
      <c r="J92" s="17">
        <v>7.43E-6</v>
      </c>
      <c r="K92" s="6">
        <f t="shared" si="1"/>
        <v>1</v>
      </c>
    </row>
    <row r="93" spans="1:11" ht="296" customHeight="1" x14ac:dyDescent="0.15">
      <c r="A93" s="13">
        <v>5863</v>
      </c>
      <c r="B93" s="14" t="s">
        <v>276</v>
      </c>
      <c r="C93" s="15" t="s">
        <v>277</v>
      </c>
      <c r="D93" s="15" t="s">
        <v>278</v>
      </c>
      <c r="E93" s="16">
        <v>18</v>
      </c>
      <c r="F93" s="16">
        <v>18</v>
      </c>
      <c r="G93" s="16">
        <v>103</v>
      </c>
      <c r="H93" s="16">
        <v>126</v>
      </c>
      <c r="I93" s="16">
        <v>229</v>
      </c>
      <c r="J93" s="17">
        <v>8.3599999999999996E-6</v>
      </c>
      <c r="K93" s="6">
        <f t="shared" si="1"/>
        <v>1</v>
      </c>
    </row>
    <row r="94" spans="1:11" ht="188" customHeight="1" x14ac:dyDescent="0.15">
      <c r="A94" s="13">
        <v>6032</v>
      </c>
      <c r="B94" s="14" t="s">
        <v>279</v>
      </c>
      <c r="C94" s="15" t="s">
        <v>280</v>
      </c>
      <c r="D94" s="15" t="s">
        <v>281</v>
      </c>
      <c r="E94" s="16">
        <v>11</v>
      </c>
      <c r="F94" s="16">
        <v>11</v>
      </c>
      <c r="G94" s="16">
        <v>83</v>
      </c>
      <c r="H94" s="16">
        <v>86</v>
      </c>
      <c r="I94" s="16">
        <v>169</v>
      </c>
      <c r="J94" s="17">
        <v>5.9599999999999997E-6</v>
      </c>
      <c r="K94" s="6">
        <f t="shared" si="1"/>
        <v>1</v>
      </c>
    </row>
    <row r="95" spans="1:11" ht="344" customHeight="1" x14ac:dyDescent="0.15">
      <c r="A95" s="13">
        <v>6941</v>
      </c>
      <c r="B95" s="14" t="s">
        <v>282</v>
      </c>
      <c r="C95" s="15" t="s">
        <v>283</v>
      </c>
      <c r="D95" s="15" t="s">
        <v>284</v>
      </c>
      <c r="E95" s="16">
        <v>60</v>
      </c>
      <c r="F95" s="16">
        <v>60</v>
      </c>
      <c r="G95" s="16">
        <v>91</v>
      </c>
      <c r="H95" s="16">
        <v>128</v>
      </c>
      <c r="I95" s="16">
        <v>219</v>
      </c>
      <c r="J95" s="17">
        <v>8.2199999999999992E-6</v>
      </c>
      <c r="K95" s="6">
        <f t="shared" si="1"/>
        <v>1</v>
      </c>
    </row>
    <row r="96" spans="1:11" ht="409.5" customHeight="1" x14ac:dyDescent="0.15">
      <c r="A96" s="13">
        <v>1172</v>
      </c>
      <c r="B96" s="14" t="s">
        <v>285</v>
      </c>
      <c r="C96" s="15" t="s">
        <v>286</v>
      </c>
      <c r="D96" s="15" t="s">
        <v>287</v>
      </c>
      <c r="E96" s="16">
        <v>30</v>
      </c>
      <c r="F96" s="16">
        <v>30</v>
      </c>
      <c r="G96" s="16">
        <v>147</v>
      </c>
      <c r="H96" s="16">
        <v>225</v>
      </c>
      <c r="I96" s="16">
        <v>372</v>
      </c>
      <c r="J96" s="18">
        <v>2.535E-5</v>
      </c>
      <c r="K96" s="6">
        <f t="shared" si="1"/>
        <v>1</v>
      </c>
    </row>
    <row r="97" spans="1:11" ht="296" customHeight="1" x14ac:dyDescent="0.15">
      <c r="A97" s="13">
        <v>4046</v>
      </c>
      <c r="B97" s="14" t="s">
        <v>288</v>
      </c>
      <c r="C97" s="15" t="s">
        <v>289</v>
      </c>
      <c r="D97" s="15" t="s">
        <v>290</v>
      </c>
      <c r="E97" s="16">
        <v>55</v>
      </c>
      <c r="F97" s="16">
        <v>55</v>
      </c>
      <c r="G97" s="16">
        <v>91</v>
      </c>
      <c r="H97" s="16">
        <v>136</v>
      </c>
      <c r="I97" s="16">
        <v>227</v>
      </c>
      <c r="J97" s="17">
        <v>7.2599999999999999E-6</v>
      </c>
      <c r="K97" s="6">
        <f t="shared" si="1"/>
        <v>1</v>
      </c>
    </row>
    <row r="98" spans="1:11" ht="409.5" customHeight="1" x14ac:dyDescent="0.15">
      <c r="A98" s="13">
        <v>1002</v>
      </c>
      <c r="B98" s="24" t="s">
        <v>291</v>
      </c>
      <c r="C98" s="15" t="s">
        <v>292</v>
      </c>
      <c r="D98" s="21" t="s">
        <v>1513</v>
      </c>
      <c r="E98" s="16">
        <v>113</v>
      </c>
      <c r="F98" s="16">
        <v>113</v>
      </c>
      <c r="G98" s="16">
        <v>92</v>
      </c>
      <c r="H98" s="16">
        <v>207</v>
      </c>
      <c r="I98" s="16">
        <v>299</v>
      </c>
      <c r="J98" s="18">
        <v>1.219E-5</v>
      </c>
      <c r="K98" s="6">
        <f t="shared" si="1"/>
        <v>1</v>
      </c>
    </row>
    <row r="99" spans="1:11" ht="308" customHeight="1" x14ac:dyDescent="0.15">
      <c r="A99" s="13">
        <v>2432</v>
      </c>
      <c r="B99" s="14" t="s">
        <v>293</v>
      </c>
      <c r="C99" s="15" t="s">
        <v>294</v>
      </c>
      <c r="D99" s="15" t="s">
        <v>295</v>
      </c>
      <c r="E99" s="16">
        <v>3</v>
      </c>
      <c r="F99" s="16">
        <v>3</v>
      </c>
      <c r="G99" s="16">
        <v>107</v>
      </c>
      <c r="H99" s="16">
        <v>159</v>
      </c>
      <c r="I99" s="16">
        <v>266</v>
      </c>
      <c r="J99" s="18">
        <v>1.009E-5</v>
      </c>
      <c r="K99" s="6">
        <f t="shared" si="1"/>
        <v>1</v>
      </c>
    </row>
    <row r="100" spans="1:11" ht="224" customHeight="1" x14ac:dyDescent="0.15">
      <c r="A100" s="13">
        <v>4180</v>
      </c>
      <c r="B100" s="14" t="s">
        <v>296</v>
      </c>
      <c r="C100" s="15" t="s">
        <v>297</v>
      </c>
      <c r="D100" s="15" t="s">
        <v>298</v>
      </c>
      <c r="E100" s="16">
        <v>48</v>
      </c>
      <c r="F100" s="16">
        <v>48</v>
      </c>
      <c r="G100" s="16">
        <v>92</v>
      </c>
      <c r="H100" s="16">
        <v>100</v>
      </c>
      <c r="I100" s="16">
        <v>192</v>
      </c>
      <c r="J100" s="17">
        <v>6.8399999999999997E-6</v>
      </c>
      <c r="K100" s="6">
        <f t="shared" si="1"/>
        <v>1</v>
      </c>
    </row>
    <row r="101" spans="1:11" ht="320" customHeight="1" x14ac:dyDescent="0.15">
      <c r="A101" s="13">
        <v>1835</v>
      </c>
      <c r="B101" s="14" t="s">
        <v>299</v>
      </c>
      <c r="C101" s="15" t="s">
        <v>300</v>
      </c>
      <c r="D101" s="15" t="s">
        <v>301</v>
      </c>
      <c r="E101" s="16">
        <v>40</v>
      </c>
      <c r="F101" s="16">
        <v>40</v>
      </c>
      <c r="G101" s="16">
        <v>95</v>
      </c>
      <c r="H101" s="16">
        <v>184</v>
      </c>
      <c r="I101" s="16">
        <v>279</v>
      </c>
      <c r="J101" s="17">
        <v>9.2599999999999994E-6</v>
      </c>
      <c r="K101" s="6">
        <f t="shared" si="1"/>
        <v>1</v>
      </c>
    </row>
    <row r="102" spans="1:11" ht="409.5" customHeight="1" x14ac:dyDescent="0.15">
      <c r="A102" s="13">
        <v>3442</v>
      </c>
      <c r="B102" s="14" t="s">
        <v>302</v>
      </c>
      <c r="C102" s="15" t="s">
        <v>303</v>
      </c>
      <c r="D102" s="15" t="s">
        <v>304</v>
      </c>
      <c r="E102" s="16">
        <v>30</v>
      </c>
      <c r="F102" s="16">
        <v>30</v>
      </c>
      <c r="G102" s="16">
        <v>130</v>
      </c>
      <c r="H102" s="16">
        <v>242</v>
      </c>
      <c r="I102" s="16">
        <v>372</v>
      </c>
      <c r="J102" s="17">
        <v>1.47E-5</v>
      </c>
      <c r="K102" s="6">
        <f t="shared" si="1"/>
        <v>1</v>
      </c>
    </row>
    <row r="103" spans="1:11" ht="272" customHeight="1" x14ac:dyDescent="0.15">
      <c r="A103" s="13">
        <v>6871</v>
      </c>
      <c r="B103" s="14" t="s">
        <v>305</v>
      </c>
      <c r="C103" s="15" t="s">
        <v>306</v>
      </c>
      <c r="D103" s="15" t="s">
        <v>307</v>
      </c>
      <c r="E103" s="16">
        <v>84</v>
      </c>
      <c r="F103" s="16">
        <v>84</v>
      </c>
      <c r="G103" s="16">
        <v>97</v>
      </c>
      <c r="H103" s="16">
        <v>133</v>
      </c>
      <c r="I103" s="16">
        <v>230</v>
      </c>
      <c r="J103" s="17">
        <v>7.2599999999999999E-6</v>
      </c>
      <c r="K103" s="6">
        <f t="shared" si="1"/>
        <v>1</v>
      </c>
    </row>
    <row r="104" spans="1:11" ht="284" customHeight="1" x14ac:dyDescent="0.15">
      <c r="A104" s="13">
        <v>544</v>
      </c>
      <c r="B104" s="14" t="s">
        <v>308</v>
      </c>
      <c r="C104" s="15" t="s">
        <v>309</v>
      </c>
      <c r="D104" s="15" t="s">
        <v>310</v>
      </c>
      <c r="E104" s="16">
        <v>15</v>
      </c>
      <c r="F104" s="16">
        <v>15</v>
      </c>
      <c r="G104" s="16">
        <v>88</v>
      </c>
      <c r="H104" s="16">
        <v>103</v>
      </c>
      <c r="I104" s="16">
        <v>191</v>
      </c>
      <c r="J104" s="17">
        <v>5.8799999999999996E-6</v>
      </c>
      <c r="K104" s="6">
        <f t="shared" si="1"/>
        <v>1</v>
      </c>
    </row>
    <row r="105" spans="1:11" ht="409.5" customHeight="1" x14ac:dyDescent="0.15">
      <c r="A105" s="13">
        <v>7472</v>
      </c>
      <c r="B105" s="14" t="s">
        <v>311</v>
      </c>
      <c r="C105" s="15" t="s">
        <v>312</v>
      </c>
      <c r="D105" s="21" t="s">
        <v>313</v>
      </c>
      <c r="E105" s="16">
        <v>41</v>
      </c>
      <c r="F105" s="16">
        <v>50</v>
      </c>
      <c r="G105" s="16">
        <v>71</v>
      </c>
      <c r="H105" s="16">
        <v>269</v>
      </c>
      <c r="I105" s="16">
        <v>340</v>
      </c>
      <c r="J105" s="18">
        <v>1.218E-5</v>
      </c>
      <c r="K105" s="6">
        <f t="shared" si="1"/>
        <v>0</v>
      </c>
    </row>
    <row r="106" spans="1:11" ht="272" customHeight="1" x14ac:dyDescent="0.15">
      <c r="A106" s="13">
        <v>3105</v>
      </c>
      <c r="B106" s="14" t="s">
        <v>314</v>
      </c>
      <c r="C106" s="15" t="s">
        <v>315</v>
      </c>
      <c r="D106" s="15" t="s">
        <v>316</v>
      </c>
      <c r="E106" s="16">
        <v>52</v>
      </c>
      <c r="F106" s="16">
        <v>52</v>
      </c>
      <c r="G106" s="16">
        <v>97</v>
      </c>
      <c r="H106" s="16">
        <v>137</v>
      </c>
      <c r="I106" s="16">
        <v>234</v>
      </c>
      <c r="J106" s="17">
        <v>7.4200000000000001E-6</v>
      </c>
      <c r="K106" s="6">
        <f t="shared" si="1"/>
        <v>1</v>
      </c>
    </row>
    <row r="107" spans="1:11" ht="409.5" customHeight="1" x14ac:dyDescent="0.15">
      <c r="A107" s="13">
        <v>7182</v>
      </c>
      <c r="B107" s="14" t="s">
        <v>317</v>
      </c>
      <c r="C107" s="15" t="s">
        <v>318</v>
      </c>
      <c r="D107" s="15" t="s">
        <v>319</v>
      </c>
      <c r="E107" s="16">
        <v>10</v>
      </c>
      <c r="F107" s="16">
        <v>4</v>
      </c>
      <c r="G107" s="16">
        <v>75</v>
      </c>
      <c r="H107" s="16">
        <v>201</v>
      </c>
      <c r="I107" s="16">
        <v>276</v>
      </c>
      <c r="J107" s="17">
        <v>9.5400000000000001E-6</v>
      </c>
      <c r="K107" s="6">
        <f t="shared" si="1"/>
        <v>0</v>
      </c>
    </row>
    <row r="108" spans="1:11" ht="332" customHeight="1" x14ac:dyDescent="0.15">
      <c r="A108" s="13">
        <v>6167</v>
      </c>
      <c r="B108" s="14" t="s">
        <v>320</v>
      </c>
      <c r="C108" s="15" t="s">
        <v>321</v>
      </c>
      <c r="D108" s="15" t="s">
        <v>322</v>
      </c>
      <c r="E108" s="16">
        <v>436</v>
      </c>
      <c r="F108" s="16">
        <v>436</v>
      </c>
      <c r="G108" s="16">
        <v>121</v>
      </c>
      <c r="H108" s="16">
        <v>188</v>
      </c>
      <c r="I108" s="16">
        <v>309</v>
      </c>
      <c r="J108" s="18">
        <v>1.182E-5</v>
      </c>
      <c r="K108" s="6">
        <f t="shared" si="1"/>
        <v>1</v>
      </c>
    </row>
    <row r="109" spans="1:11" ht="272" customHeight="1" x14ac:dyDescent="0.15">
      <c r="A109" s="13">
        <v>1758</v>
      </c>
      <c r="B109" s="14" t="s">
        <v>323</v>
      </c>
      <c r="C109" s="15" t="s">
        <v>324</v>
      </c>
      <c r="D109" s="15" t="s">
        <v>325</v>
      </c>
      <c r="E109" s="16">
        <v>17</v>
      </c>
      <c r="F109" s="16">
        <v>17</v>
      </c>
      <c r="G109" s="16">
        <v>121</v>
      </c>
      <c r="H109" s="16">
        <v>161</v>
      </c>
      <c r="I109" s="16">
        <v>282</v>
      </c>
      <c r="J109" s="17">
        <v>8.8599999999999999E-6</v>
      </c>
      <c r="K109" s="6">
        <f t="shared" si="1"/>
        <v>1</v>
      </c>
    </row>
    <row r="110" spans="1:11" ht="308" customHeight="1" x14ac:dyDescent="0.15">
      <c r="A110" s="13">
        <v>1632</v>
      </c>
      <c r="B110" s="14" t="s">
        <v>326</v>
      </c>
      <c r="C110" s="15" t="s">
        <v>327</v>
      </c>
      <c r="D110" s="15" t="s">
        <v>328</v>
      </c>
      <c r="E110" s="16">
        <v>196</v>
      </c>
      <c r="F110" s="16">
        <v>196</v>
      </c>
      <c r="G110" s="16">
        <v>74</v>
      </c>
      <c r="H110" s="16">
        <v>113</v>
      </c>
      <c r="I110" s="16">
        <v>187</v>
      </c>
      <c r="J110" s="22">
        <v>6.0000000000000002E-6</v>
      </c>
      <c r="K110" s="6">
        <f t="shared" si="1"/>
        <v>1</v>
      </c>
    </row>
    <row r="111" spans="1:11" ht="200" customHeight="1" x14ac:dyDescent="0.15">
      <c r="A111" s="13">
        <v>5283</v>
      </c>
      <c r="B111" s="14" t="s">
        <v>329</v>
      </c>
      <c r="C111" s="15" t="s">
        <v>330</v>
      </c>
      <c r="D111" s="15" t="s">
        <v>331</v>
      </c>
      <c r="E111" s="16">
        <v>17</v>
      </c>
      <c r="F111" s="16">
        <v>17</v>
      </c>
      <c r="G111" s="16">
        <v>92</v>
      </c>
      <c r="H111" s="16">
        <v>105</v>
      </c>
      <c r="I111" s="16">
        <v>197</v>
      </c>
      <c r="J111" s="17">
        <v>6.0399999999999998E-6</v>
      </c>
      <c r="K111" s="6">
        <f t="shared" si="1"/>
        <v>1</v>
      </c>
    </row>
    <row r="112" spans="1:11" ht="308" customHeight="1" x14ac:dyDescent="0.15">
      <c r="A112" s="13">
        <v>737</v>
      </c>
      <c r="B112" s="14" t="s">
        <v>332</v>
      </c>
      <c r="C112" s="15" t="s">
        <v>333</v>
      </c>
      <c r="D112" s="15" t="s">
        <v>334</v>
      </c>
      <c r="E112" s="16">
        <v>15</v>
      </c>
      <c r="F112" s="16">
        <v>15</v>
      </c>
      <c r="G112" s="16">
        <v>88</v>
      </c>
      <c r="H112" s="16">
        <v>179</v>
      </c>
      <c r="I112" s="16">
        <v>267</v>
      </c>
      <c r="J112" s="18">
        <v>1.0710000000000001E-5</v>
      </c>
      <c r="K112" s="6">
        <f t="shared" si="1"/>
        <v>1</v>
      </c>
    </row>
    <row r="113" spans="1:11" ht="308" customHeight="1" x14ac:dyDescent="0.15">
      <c r="A113" s="13">
        <v>37</v>
      </c>
      <c r="B113" s="14" t="s">
        <v>335</v>
      </c>
      <c r="C113" s="15" t="s">
        <v>336</v>
      </c>
      <c r="D113" s="15" t="s">
        <v>337</v>
      </c>
      <c r="E113" s="16">
        <v>5</v>
      </c>
      <c r="F113" s="16">
        <v>5</v>
      </c>
      <c r="G113" s="16">
        <v>122</v>
      </c>
      <c r="H113" s="16">
        <v>161</v>
      </c>
      <c r="I113" s="16">
        <v>283</v>
      </c>
      <c r="J113" s="17">
        <v>8.8799999999999997E-6</v>
      </c>
      <c r="K113" s="6">
        <f t="shared" si="1"/>
        <v>1</v>
      </c>
    </row>
    <row r="114" spans="1:11" ht="409.5" customHeight="1" x14ac:dyDescent="0.15">
      <c r="A114" s="13">
        <v>61</v>
      </c>
      <c r="B114" s="14" t="s">
        <v>338</v>
      </c>
      <c r="C114" s="15" t="s">
        <v>339</v>
      </c>
      <c r="D114" s="15" t="s">
        <v>340</v>
      </c>
      <c r="E114" s="16">
        <v>100</v>
      </c>
      <c r="F114" s="16">
        <v>200</v>
      </c>
      <c r="G114" s="16">
        <v>141</v>
      </c>
      <c r="H114" s="16">
        <v>272</v>
      </c>
      <c r="I114" s="16">
        <v>413</v>
      </c>
      <c r="J114" s="17">
        <v>1.3699999999999999E-5</v>
      </c>
      <c r="K114" s="6">
        <f t="shared" si="1"/>
        <v>0</v>
      </c>
    </row>
    <row r="115" spans="1:11" ht="176" customHeight="1" x14ac:dyDescent="0.15">
      <c r="A115" s="13">
        <v>1438</v>
      </c>
      <c r="B115" s="24" t="s">
        <v>341</v>
      </c>
      <c r="C115" s="15" t="s">
        <v>342</v>
      </c>
      <c r="D115" s="21" t="s">
        <v>343</v>
      </c>
      <c r="E115" s="16">
        <v>10</v>
      </c>
      <c r="F115" s="16">
        <v>10</v>
      </c>
      <c r="G115" s="16">
        <v>82</v>
      </c>
      <c r="H115" s="16">
        <v>96</v>
      </c>
      <c r="I115" s="16">
        <v>178</v>
      </c>
      <c r="J115" s="17">
        <v>6.4400000000000002E-6</v>
      </c>
      <c r="K115" s="6">
        <f t="shared" si="1"/>
        <v>1</v>
      </c>
    </row>
    <row r="116" spans="1:11" ht="332" customHeight="1" x14ac:dyDescent="0.15">
      <c r="A116" s="13">
        <v>472</v>
      </c>
      <c r="B116" s="14" t="s">
        <v>344</v>
      </c>
      <c r="C116" s="15" t="s">
        <v>345</v>
      </c>
      <c r="D116" s="15" t="s">
        <v>346</v>
      </c>
      <c r="E116" s="16">
        <v>11</v>
      </c>
      <c r="F116" s="16">
        <v>11</v>
      </c>
      <c r="G116" s="16">
        <v>97</v>
      </c>
      <c r="H116" s="16">
        <v>190</v>
      </c>
      <c r="I116" s="16">
        <v>287</v>
      </c>
      <c r="J116" s="18">
        <v>1.1440000000000001E-5</v>
      </c>
      <c r="K116" s="6">
        <f t="shared" si="1"/>
        <v>1</v>
      </c>
    </row>
    <row r="117" spans="1:11" ht="409.5" customHeight="1" x14ac:dyDescent="0.15">
      <c r="A117" s="13">
        <v>7141</v>
      </c>
      <c r="B117" s="14" t="s">
        <v>347</v>
      </c>
      <c r="C117" s="15" t="s">
        <v>348</v>
      </c>
      <c r="D117" s="15" t="s">
        <v>349</v>
      </c>
      <c r="E117" s="16">
        <v>30</v>
      </c>
      <c r="F117" s="16">
        <v>30</v>
      </c>
      <c r="G117" s="16">
        <v>93</v>
      </c>
      <c r="H117" s="16">
        <v>208</v>
      </c>
      <c r="I117" s="16">
        <v>301</v>
      </c>
      <c r="J117" s="18">
        <v>1.0180000000000001E-5</v>
      </c>
      <c r="K117" s="6">
        <f t="shared" si="1"/>
        <v>1</v>
      </c>
    </row>
    <row r="118" spans="1:11" ht="368" customHeight="1" x14ac:dyDescent="0.15">
      <c r="A118" s="13">
        <v>5816</v>
      </c>
      <c r="B118" s="14" t="s">
        <v>350</v>
      </c>
      <c r="C118" s="15" t="s">
        <v>351</v>
      </c>
      <c r="D118" s="15" t="s">
        <v>352</v>
      </c>
      <c r="E118" s="16">
        <v>840</v>
      </c>
      <c r="F118" s="16">
        <v>840</v>
      </c>
      <c r="G118" s="16">
        <v>91</v>
      </c>
      <c r="H118" s="16">
        <v>203</v>
      </c>
      <c r="I118" s="16">
        <v>294</v>
      </c>
      <c r="J118" s="18">
        <v>1.1970000000000001E-5</v>
      </c>
      <c r="K118" s="6">
        <f t="shared" si="1"/>
        <v>1</v>
      </c>
    </row>
    <row r="119" spans="1:11" ht="409.5" customHeight="1" x14ac:dyDescent="0.15">
      <c r="A119" s="13">
        <v>5591</v>
      </c>
      <c r="B119" s="14" t="s">
        <v>353</v>
      </c>
      <c r="C119" s="15" t="s">
        <v>354</v>
      </c>
      <c r="D119" s="15" t="s">
        <v>355</v>
      </c>
      <c r="E119" s="16">
        <v>9</v>
      </c>
      <c r="F119" s="16">
        <v>6</v>
      </c>
      <c r="G119" s="16">
        <v>154</v>
      </c>
      <c r="H119" s="16">
        <v>231</v>
      </c>
      <c r="I119" s="16">
        <v>385</v>
      </c>
      <c r="J119" s="18">
        <v>1.4630000000000001E-5</v>
      </c>
      <c r="K119" s="6">
        <f t="shared" si="1"/>
        <v>0</v>
      </c>
    </row>
    <row r="120" spans="1:11" ht="212" customHeight="1" x14ac:dyDescent="0.15">
      <c r="A120" s="13">
        <v>2182</v>
      </c>
      <c r="B120" s="14" t="s">
        <v>356</v>
      </c>
      <c r="C120" s="15" t="s">
        <v>357</v>
      </c>
      <c r="D120" s="15" t="s">
        <v>358</v>
      </c>
      <c r="E120" s="16">
        <v>52</v>
      </c>
      <c r="F120" s="16">
        <v>80</v>
      </c>
      <c r="G120" s="16">
        <v>111</v>
      </c>
      <c r="H120" s="16">
        <v>111</v>
      </c>
      <c r="I120" s="16">
        <v>222</v>
      </c>
      <c r="J120" s="17">
        <v>7.7700000000000001E-6</v>
      </c>
      <c r="K120" s="6">
        <f t="shared" si="1"/>
        <v>0</v>
      </c>
    </row>
    <row r="121" spans="1:11" ht="296" customHeight="1" x14ac:dyDescent="0.15">
      <c r="A121" s="13">
        <v>1783</v>
      </c>
      <c r="B121" s="14" t="s">
        <v>359</v>
      </c>
      <c r="C121" s="15" t="s">
        <v>360</v>
      </c>
      <c r="D121" s="15" t="s">
        <v>361</v>
      </c>
      <c r="E121" s="16">
        <v>195</v>
      </c>
      <c r="F121" s="16">
        <v>195</v>
      </c>
      <c r="G121" s="16">
        <v>93</v>
      </c>
      <c r="H121" s="16">
        <v>149</v>
      </c>
      <c r="I121" s="16">
        <v>242</v>
      </c>
      <c r="J121" s="17">
        <v>7.8199999999999997E-6</v>
      </c>
      <c r="K121" s="6">
        <f t="shared" si="1"/>
        <v>1</v>
      </c>
    </row>
    <row r="122" spans="1:11" ht="404" customHeight="1" x14ac:dyDescent="0.15">
      <c r="A122" s="13">
        <v>5942</v>
      </c>
      <c r="B122" s="14" t="s">
        <v>362</v>
      </c>
      <c r="C122" s="15" t="s">
        <v>363</v>
      </c>
      <c r="D122" s="15" t="s">
        <v>364</v>
      </c>
      <c r="E122" s="16">
        <v>16</v>
      </c>
      <c r="F122" s="16">
        <v>16</v>
      </c>
      <c r="G122" s="16">
        <v>79</v>
      </c>
      <c r="H122" s="16">
        <v>164</v>
      </c>
      <c r="I122" s="16">
        <v>243</v>
      </c>
      <c r="J122" s="17">
        <v>8.14E-6</v>
      </c>
      <c r="K122" s="6">
        <f t="shared" si="1"/>
        <v>1</v>
      </c>
    </row>
    <row r="123" spans="1:11" ht="409.5" customHeight="1" x14ac:dyDescent="0.15">
      <c r="A123" s="13">
        <v>5579</v>
      </c>
      <c r="B123" s="14" t="s">
        <v>365</v>
      </c>
      <c r="C123" s="15" t="s">
        <v>366</v>
      </c>
      <c r="D123" s="15" t="s">
        <v>367</v>
      </c>
      <c r="E123" s="16">
        <v>296</v>
      </c>
      <c r="F123" s="16">
        <v>296</v>
      </c>
      <c r="G123" s="16">
        <v>105</v>
      </c>
      <c r="H123" s="16">
        <v>237</v>
      </c>
      <c r="I123" s="16">
        <v>342</v>
      </c>
      <c r="J123" s="18">
        <v>1.1579999999999999E-5</v>
      </c>
      <c r="K123" s="6">
        <f t="shared" si="1"/>
        <v>1</v>
      </c>
    </row>
    <row r="124" spans="1:11" ht="332" customHeight="1" x14ac:dyDescent="0.15">
      <c r="A124" s="13">
        <v>6106</v>
      </c>
      <c r="B124" s="14" t="s">
        <v>368</v>
      </c>
      <c r="C124" s="15" t="s">
        <v>369</v>
      </c>
      <c r="D124" s="15" t="s">
        <v>370</v>
      </c>
      <c r="E124" s="16">
        <v>160</v>
      </c>
      <c r="F124" s="16">
        <v>160</v>
      </c>
      <c r="G124" s="16">
        <v>87</v>
      </c>
      <c r="H124" s="16">
        <v>149</v>
      </c>
      <c r="I124" s="16">
        <v>236</v>
      </c>
      <c r="J124" s="17">
        <v>9.1900000000000001E-6</v>
      </c>
      <c r="K124" s="6">
        <f t="shared" si="1"/>
        <v>1</v>
      </c>
    </row>
    <row r="125" spans="1:11" ht="409.5" customHeight="1" x14ac:dyDescent="0.15">
      <c r="A125" s="13">
        <v>786</v>
      </c>
      <c r="B125" s="14" t="s">
        <v>371</v>
      </c>
      <c r="C125" s="15" t="s">
        <v>372</v>
      </c>
      <c r="D125" s="15" t="s">
        <v>373</v>
      </c>
      <c r="E125" s="16">
        <v>2</v>
      </c>
      <c r="F125" s="16">
        <v>3</v>
      </c>
      <c r="G125" s="16">
        <v>113</v>
      </c>
      <c r="H125" s="16">
        <v>247</v>
      </c>
      <c r="I125" s="16">
        <v>360</v>
      </c>
      <c r="J125" s="18">
        <v>1.4610000000000001E-5</v>
      </c>
      <c r="K125" s="6">
        <f t="shared" si="1"/>
        <v>0</v>
      </c>
    </row>
    <row r="126" spans="1:11" ht="245.25" customHeight="1" x14ac:dyDescent="0.15">
      <c r="A126" s="13">
        <v>95</v>
      </c>
      <c r="B126" s="14" t="s">
        <v>374</v>
      </c>
      <c r="C126" s="15" t="s">
        <v>375</v>
      </c>
      <c r="D126" s="15" t="s">
        <v>376</v>
      </c>
      <c r="E126" s="23"/>
      <c r="F126" s="16">
        <v>64</v>
      </c>
      <c r="G126" s="16">
        <v>101</v>
      </c>
      <c r="H126" s="16">
        <v>16384</v>
      </c>
      <c r="I126" s="16">
        <v>16485</v>
      </c>
      <c r="J126" s="16">
        <v>6.5738000000000005E-4</v>
      </c>
      <c r="K126" s="6">
        <f t="shared" si="1"/>
        <v>0</v>
      </c>
    </row>
    <row r="127" spans="1:11" ht="236" customHeight="1" x14ac:dyDescent="0.15">
      <c r="A127" s="13">
        <v>7258</v>
      </c>
      <c r="B127" s="14" t="s">
        <v>377</v>
      </c>
      <c r="C127" s="15" t="s">
        <v>378</v>
      </c>
      <c r="D127" s="15" t="s">
        <v>379</v>
      </c>
      <c r="E127" s="16">
        <v>38000</v>
      </c>
      <c r="F127" s="16">
        <v>38000</v>
      </c>
      <c r="G127" s="16">
        <v>86</v>
      </c>
      <c r="H127" s="16">
        <v>109</v>
      </c>
      <c r="I127" s="16">
        <v>195</v>
      </c>
      <c r="J127" s="17">
        <v>6.0800000000000002E-6</v>
      </c>
      <c r="K127" s="6">
        <f t="shared" si="1"/>
        <v>1</v>
      </c>
    </row>
    <row r="128" spans="1:11" ht="380" customHeight="1" x14ac:dyDescent="0.15">
      <c r="A128" s="13">
        <v>2542</v>
      </c>
      <c r="B128" s="14" t="s">
        <v>380</v>
      </c>
      <c r="C128" s="15" t="s">
        <v>381</v>
      </c>
      <c r="D128" s="15" t="s">
        <v>382</v>
      </c>
      <c r="E128" s="16">
        <v>2</v>
      </c>
      <c r="F128" s="16">
        <v>2</v>
      </c>
      <c r="G128" s="16">
        <v>109</v>
      </c>
      <c r="H128" s="16">
        <v>188</v>
      </c>
      <c r="I128" s="16">
        <v>297</v>
      </c>
      <c r="J128" s="19">
        <v>9.7000000000000003E-6</v>
      </c>
      <c r="K128" s="6">
        <f t="shared" si="1"/>
        <v>1</v>
      </c>
    </row>
    <row r="129" spans="1:11" ht="344" customHeight="1" x14ac:dyDescent="0.15">
      <c r="A129" s="13">
        <v>3803</v>
      </c>
      <c r="B129" s="14" t="s">
        <v>383</v>
      </c>
      <c r="C129" s="15" t="s">
        <v>384</v>
      </c>
      <c r="D129" s="15" t="s">
        <v>385</v>
      </c>
      <c r="E129" s="16">
        <v>264</v>
      </c>
      <c r="F129" s="16">
        <v>264</v>
      </c>
      <c r="G129" s="16">
        <v>124</v>
      </c>
      <c r="H129" s="16">
        <v>213</v>
      </c>
      <c r="I129" s="16">
        <v>337</v>
      </c>
      <c r="J129" s="19">
        <v>1.1E-5</v>
      </c>
      <c r="K129" s="6">
        <f t="shared" si="1"/>
        <v>1</v>
      </c>
    </row>
    <row r="130" spans="1:11" ht="344" customHeight="1" x14ac:dyDescent="0.15">
      <c r="A130" s="13">
        <v>676</v>
      </c>
      <c r="B130" s="14" t="s">
        <v>386</v>
      </c>
      <c r="C130" s="15" t="s">
        <v>387</v>
      </c>
      <c r="D130" s="15" t="s">
        <v>388</v>
      </c>
      <c r="E130" s="16">
        <v>54</v>
      </c>
      <c r="F130" s="16">
        <v>54</v>
      </c>
      <c r="G130" s="16">
        <v>86</v>
      </c>
      <c r="H130" s="16">
        <v>158</v>
      </c>
      <c r="I130" s="16">
        <v>244</v>
      </c>
      <c r="J130" s="17">
        <v>8.0399999999999993E-6</v>
      </c>
      <c r="K130" s="6">
        <f t="shared" si="1"/>
        <v>1</v>
      </c>
    </row>
    <row r="131" spans="1:11" ht="409.5" customHeight="1" x14ac:dyDescent="0.15">
      <c r="A131" s="13">
        <v>1569</v>
      </c>
      <c r="B131" s="14" t="s">
        <v>389</v>
      </c>
      <c r="C131" s="15" t="s">
        <v>390</v>
      </c>
      <c r="D131" s="15" t="s">
        <v>391</v>
      </c>
      <c r="E131" s="16">
        <v>10</v>
      </c>
      <c r="F131" s="16">
        <v>10</v>
      </c>
      <c r="G131" s="16">
        <v>106</v>
      </c>
      <c r="H131" s="16">
        <v>224</v>
      </c>
      <c r="I131" s="16">
        <v>330</v>
      </c>
      <c r="J131" s="18">
        <v>1.332E-5</v>
      </c>
      <c r="K131" s="6">
        <f t="shared" si="1"/>
        <v>1</v>
      </c>
    </row>
    <row r="132" spans="1:11" ht="380" customHeight="1" x14ac:dyDescent="0.15">
      <c r="A132" s="13">
        <v>3103</v>
      </c>
      <c r="B132" s="14" t="s">
        <v>392</v>
      </c>
      <c r="C132" s="15" t="s">
        <v>393</v>
      </c>
      <c r="D132" s="15" t="s">
        <v>394</v>
      </c>
      <c r="E132" s="16">
        <v>1</v>
      </c>
      <c r="F132" s="16">
        <v>1</v>
      </c>
      <c r="G132" s="16">
        <v>117</v>
      </c>
      <c r="H132" s="16">
        <v>222</v>
      </c>
      <c r="I132" s="16">
        <v>339</v>
      </c>
      <c r="J132" s="18">
        <v>1.1219999999999999E-5</v>
      </c>
      <c r="K132" s="6">
        <f t="shared" si="1"/>
        <v>1</v>
      </c>
    </row>
    <row r="133" spans="1:11" ht="368" customHeight="1" x14ac:dyDescent="0.15">
      <c r="A133" s="13">
        <v>3381</v>
      </c>
      <c r="B133" s="14" t="s">
        <v>395</v>
      </c>
      <c r="C133" s="15" t="s">
        <v>396</v>
      </c>
      <c r="D133" s="15" t="s">
        <v>397</v>
      </c>
      <c r="E133" s="16">
        <v>85</v>
      </c>
      <c r="F133" s="16">
        <v>85</v>
      </c>
      <c r="G133" s="16">
        <v>87</v>
      </c>
      <c r="H133" s="16">
        <v>180</v>
      </c>
      <c r="I133" s="16">
        <v>267</v>
      </c>
      <c r="J133" s="17">
        <v>8.9400000000000008E-6</v>
      </c>
      <c r="K133" s="6">
        <f t="shared" si="1"/>
        <v>1</v>
      </c>
    </row>
    <row r="134" spans="1:11" ht="409.5" customHeight="1" x14ac:dyDescent="0.15">
      <c r="A134" s="13">
        <v>3742</v>
      </c>
      <c r="B134" s="14" t="s">
        <v>398</v>
      </c>
      <c r="C134" s="15" t="s">
        <v>399</v>
      </c>
      <c r="D134" s="15" t="s">
        <v>400</v>
      </c>
      <c r="E134" s="16">
        <v>45</v>
      </c>
      <c r="F134" s="16">
        <v>45</v>
      </c>
      <c r="G134" s="16">
        <v>137</v>
      </c>
      <c r="H134" s="16">
        <v>280</v>
      </c>
      <c r="I134" s="16">
        <v>417</v>
      </c>
      <c r="J134" s="18">
        <v>1.6739999999999999E-5</v>
      </c>
      <c r="K134" s="6">
        <f t="shared" ref="K134:K197" si="2">IF(OR(ISBLANK(E134), ISBLANK(F134)), 0, IF(E134=F134, 1, 0))</f>
        <v>1</v>
      </c>
    </row>
    <row r="135" spans="1:11" ht="409.5" customHeight="1" x14ac:dyDescent="0.15">
      <c r="A135" s="13">
        <v>4030</v>
      </c>
      <c r="B135" s="14" t="s">
        <v>401</v>
      </c>
      <c r="C135" s="15" t="s">
        <v>402</v>
      </c>
      <c r="D135" s="21" t="s">
        <v>1498</v>
      </c>
      <c r="E135" s="16">
        <v>26</v>
      </c>
      <c r="F135" s="16">
        <v>24</v>
      </c>
      <c r="G135" s="16">
        <v>107</v>
      </c>
      <c r="H135" s="16">
        <v>242</v>
      </c>
      <c r="I135" s="16">
        <v>349</v>
      </c>
      <c r="J135" s="18">
        <v>1.4239999999999999E-5</v>
      </c>
      <c r="K135" s="6">
        <f t="shared" si="2"/>
        <v>0</v>
      </c>
    </row>
    <row r="136" spans="1:11" ht="224" customHeight="1" x14ac:dyDescent="0.15">
      <c r="A136" s="13">
        <v>5658</v>
      </c>
      <c r="B136" s="14" t="s">
        <v>403</v>
      </c>
      <c r="C136" s="15" t="s">
        <v>404</v>
      </c>
      <c r="D136" s="15" t="s">
        <v>405</v>
      </c>
      <c r="E136" s="16">
        <v>15</v>
      </c>
      <c r="F136" s="16">
        <v>15</v>
      </c>
      <c r="G136" s="16">
        <v>134</v>
      </c>
      <c r="H136" s="16">
        <v>96</v>
      </c>
      <c r="I136" s="16">
        <v>230</v>
      </c>
      <c r="J136" s="17">
        <v>6.5200000000000003E-6</v>
      </c>
      <c r="K136" s="6">
        <f t="shared" si="2"/>
        <v>1</v>
      </c>
    </row>
    <row r="137" spans="1:11" ht="260" customHeight="1" x14ac:dyDescent="0.15">
      <c r="A137" s="13">
        <v>3770</v>
      </c>
      <c r="B137" s="14" t="s">
        <v>406</v>
      </c>
      <c r="C137" s="15" t="s">
        <v>407</v>
      </c>
      <c r="D137" s="21" t="s">
        <v>1499</v>
      </c>
      <c r="E137" s="16">
        <v>20</v>
      </c>
      <c r="F137" s="16">
        <v>18</v>
      </c>
      <c r="G137" s="16">
        <v>85</v>
      </c>
      <c r="H137" s="16">
        <v>128</v>
      </c>
      <c r="I137" s="16">
        <v>213</v>
      </c>
      <c r="J137" s="17">
        <v>6.8199999999999999E-6</v>
      </c>
      <c r="K137" s="6">
        <f t="shared" si="2"/>
        <v>0</v>
      </c>
    </row>
    <row r="138" spans="1:11" ht="392" customHeight="1" x14ac:dyDescent="0.15">
      <c r="A138" s="13">
        <v>2885</v>
      </c>
      <c r="B138" s="14" t="s">
        <v>408</v>
      </c>
      <c r="C138" s="15" t="s">
        <v>409</v>
      </c>
      <c r="D138" s="15" t="s">
        <v>410</v>
      </c>
      <c r="E138" s="16">
        <v>40</v>
      </c>
      <c r="F138" s="16">
        <v>40</v>
      </c>
      <c r="G138" s="16">
        <v>85</v>
      </c>
      <c r="H138" s="16">
        <v>158</v>
      </c>
      <c r="I138" s="16">
        <v>243</v>
      </c>
      <c r="J138" s="19">
        <v>9.5999999999999996E-6</v>
      </c>
      <c r="K138" s="6">
        <f t="shared" si="2"/>
        <v>1</v>
      </c>
    </row>
    <row r="139" spans="1:11" ht="404" customHeight="1" x14ac:dyDescent="0.15">
      <c r="A139" s="13">
        <v>2083</v>
      </c>
      <c r="B139" s="14" t="s">
        <v>411</v>
      </c>
      <c r="C139" s="15" t="s">
        <v>412</v>
      </c>
      <c r="D139" s="15" t="s">
        <v>413</v>
      </c>
      <c r="E139" s="16">
        <v>84</v>
      </c>
      <c r="F139" s="16">
        <v>84</v>
      </c>
      <c r="G139" s="16">
        <v>91</v>
      </c>
      <c r="H139" s="16">
        <v>230</v>
      </c>
      <c r="I139" s="16">
        <v>321</v>
      </c>
      <c r="J139" s="18">
        <v>1.332E-5</v>
      </c>
      <c r="K139" s="6">
        <f t="shared" si="2"/>
        <v>1</v>
      </c>
    </row>
    <row r="140" spans="1:11" ht="380" customHeight="1" x14ac:dyDescent="0.15">
      <c r="A140" s="13">
        <v>6577</v>
      </c>
      <c r="B140" s="14" t="s">
        <v>414</v>
      </c>
      <c r="C140" s="15" t="s">
        <v>415</v>
      </c>
      <c r="D140" s="15" t="s">
        <v>416</v>
      </c>
      <c r="E140" s="16">
        <v>5</v>
      </c>
      <c r="F140" s="16">
        <v>5</v>
      </c>
      <c r="G140" s="16">
        <v>103</v>
      </c>
      <c r="H140" s="16">
        <v>169</v>
      </c>
      <c r="I140" s="16">
        <v>272</v>
      </c>
      <c r="J140" s="17">
        <v>8.8200000000000003E-6</v>
      </c>
      <c r="K140" s="6">
        <f t="shared" si="2"/>
        <v>1</v>
      </c>
    </row>
    <row r="141" spans="1:11" ht="200" customHeight="1" x14ac:dyDescent="0.15">
      <c r="A141" s="13">
        <v>5168</v>
      </c>
      <c r="B141" s="14" t="s">
        <v>417</v>
      </c>
      <c r="C141" s="15" t="s">
        <v>418</v>
      </c>
      <c r="D141" s="15" t="s">
        <v>419</v>
      </c>
      <c r="E141" s="16">
        <v>51</v>
      </c>
      <c r="F141" s="16">
        <v>51</v>
      </c>
      <c r="G141" s="16">
        <v>90</v>
      </c>
      <c r="H141" s="16">
        <v>96</v>
      </c>
      <c r="I141" s="16">
        <v>186</v>
      </c>
      <c r="J141" s="17">
        <v>5.6400000000000002E-6</v>
      </c>
      <c r="K141" s="6">
        <f t="shared" si="2"/>
        <v>1</v>
      </c>
    </row>
    <row r="142" spans="1:11" ht="200" customHeight="1" x14ac:dyDescent="0.15">
      <c r="A142" s="13">
        <v>1718</v>
      </c>
      <c r="B142" s="14" t="s">
        <v>420</v>
      </c>
      <c r="C142" s="15" t="s">
        <v>421</v>
      </c>
      <c r="D142" s="15" t="s">
        <v>422</v>
      </c>
      <c r="E142" s="16">
        <v>86</v>
      </c>
      <c r="F142" s="16">
        <v>86</v>
      </c>
      <c r="G142" s="16">
        <v>101</v>
      </c>
      <c r="H142" s="16">
        <v>80</v>
      </c>
      <c r="I142" s="16">
        <v>181</v>
      </c>
      <c r="J142" s="17">
        <v>5.22E-6</v>
      </c>
      <c r="K142" s="6">
        <f t="shared" si="2"/>
        <v>1</v>
      </c>
    </row>
    <row r="143" spans="1:11" ht="280.25" customHeight="1" x14ac:dyDescent="0.15">
      <c r="A143" s="13">
        <v>3612</v>
      </c>
      <c r="B143" s="14" t="s">
        <v>423</v>
      </c>
      <c r="C143" s="15" t="s">
        <v>424</v>
      </c>
      <c r="D143" s="15" t="s">
        <v>425</v>
      </c>
      <c r="E143" s="16">
        <v>108</v>
      </c>
      <c r="F143" s="16">
        <v>108</v>
      </c>
      <c r="G143" s="16">
        <v>99</v>
      </c>
      <c r="H143" s="16">
        <v>183</v>
      </c>
      <c r="I143" s="16">
        <v>282</v>
      </c>
      <c r="J143" s="18">
        <v>1.113E-5</v>
      </c>
      <c r="K143" s="6">
        <f t="shared" si="2"/>
        <v>1</v>
      </c>
    </row>
    <row r="144" spans="1:11" ht="409.5" customHeight="1" x14ac:dyDescent="0.15">
      <c r="A144" s="13">
        <v>1902</v>
      </c>
      <c r="B144" s="14" t="s">
        <v>426</v>
      </c>
      <c r="C144" s="15" t="s">
        <v>427</v>
      </c>
      <c r="D144" s="15" t="s">
        <v>428</v>
      </c>
      <c r="E144" s="16">
        <v>505</v>
      </c>
      <c r="F144" s="16">
        <v>605</v>
      </c>
      <c r="G144" s="16">
        <v>147</v>
      </c>
      <c r="H144" s="16">
        <v>279</v>
      </c>
      <c r="I144" s="16">
        <v>426</v>
      </c>
      <c r="J144" s="17">
        <v>1.4100000000000001E-5</v>
      </c>
      <c r="K144" s="6">
        <f t="shared" si="2"/>
        <v>0</v>
      </c>
    </row>
    <row r="145" spans="1:11" ht="409.5" customHeight="1" x14ac:dyDescent="0.15">
      <c r="A145" s="13">
        <v>1128</v>
      </c>
      <c r="B145" s="14" t="s">
        <v>429</v>
      </c>
      <c r="C145" s="15" t="s">
        <v>430</v>
      </c>
      <c r="D145" s="15" t="s">
        <v>431</v>
      </c>
      <c r="E145" s="16">
        <v>3</v>
      </c>
      <c r="F145" s="16">
        <v>3</v>
      </c>
      <c r="G145" s="16">
        <v>104</v>
      </c>
      <c r="H145" s="16">
        <v>174</v>
      </c>
      <c r="I145" s="16">
        <v>278</v>
      </c>
      <c r="J145" s="18">
        <v>1.078E-5</v>
      </c>
      <c r="K145" s="6">
        <f t="shared" si="2"/>
        <v>1</v>
      </c>
    </row>
    <row r="146" spans="1:11" ht="200" customHeight="1" x14ac:dyDescent="0.15">
      <c r="A146" s="13">
        <v>1168</v>
      </c>
      <c r="B146" s="14" t="s">
        <v>432</v>
      </c>
      <c r="C146" s="15" t="s">
        <v>433</v>
      </c>
      <c r="D146" s="15" t="s">
        <v>434</v>
      </c>
      <c r="E146" s="16">
        <v>60</v>
      </c>
      <c r="F146" s="16">
        <v>60</v>
      </c>
      <c r="G146" s="16">
        <v>94</v>
      </c>
      <c r="H146" s="16">
        <v>110</v>
      </c>
      <c r="I146" s="16">
        <v>204</v>
      </c>
      <c r="J146" s="17">
        <v>7.3799999999999996E-6</v>
      </c>
      <c r="K146" s="6">
        <f t="shared" si="2"/>
        <v>1</v>
      </c>
    </row>
    <row r="147" spans="1:11" ht="380" customHeight="1" x14ac:dyDescent="0.15">
      <c r="A147" s="13">
        <v>4582</v>
      </c>
      <c r="B147" s="14" t="s">
        <v>435</v>
      </c>
      <c r="C147" s="15" t="s">
        <v>436</v>
      </c>
      <c r="D147" s="15" t="s">
        <v>437</v>
      </c>
      <c r="E147" s="16">
        <v>75</v>
      </c>
      <c r="F147" s="16">
        <v>75</v>
      </c>
      <c r="G147" s="16">
        <v>102</v>
      </c>
      <c r="H147" s="16">
        <v>177</v>
      </c>
      <c r="I147" s="16">
        <v>279</v>
      </c>
      <c r="J147" s="18">
        <v>1.0890000000000001E-5</v>
      </c>
      <c r="K147" s="6">
        <f t="shared" si="2"/>
        <v>1</v>
      </c>
    </row>
    <row r="148" spans="1:11" ht="224" customHeight="1" x14ac:dyDescent="0.15">
      <c r="A148" s="13">
        <v>4687</v>
      </c>
      <c r="B148" s="14" t="s">
        <v>438</v>
      </c>
      <c r="C148" s="15" t="s">
        <v>439</v>
      </c>
      <c r="D148" s="15" t="s">
        <v>440</v>
      </c>
      <c r="E148" s="16">
        <v>10</v>
      </c>
      <c r="F148" s="16">
        <v>20</v>
      </c>
      <c r="G148" s="16">
        <v>115</v>
      </c>
      <c r="H148" s="16">
        <v>98</v>
      </c>
      <c r="I148" s="16">
        <v>213</v>
      </c>
      <c r="J148" s="19">
        <v>7.1999999999999997E-6</v>
      </c>
      <c r="K148" s="6">
        <f t="shared" si="2"/>
        <v>0</v>
      </c>
    </row>
    <row r="149" spans="1:11" ht="356" customHeight="1" x14ac:dyDescent="0.15">
      <c r="A149" s="13">
        <v>5815</v>
      </c>
      <c r="B149" s="14" t="s">
        <v>441</v>
      </c>
      <c r="C149" s="15" t="s">
        <v>442</v>
      </c>
      <c r="D149" s="15" t="s">
        <v>443</v>
      </c>
      <c r="E149" s="16">
        <v>10000</v>
      </c>
      <c r="F149" s="16">
        <v>10000</v>
      </c>
      <c r="G149" s="16">
        <v>76</v>
      </c>
      <c r="H149" s="16">
        <v>141</v>
      </c>
      <c r="I149" s="16">
        <v>217</v>
      </c>
      <c r="J149" s="17">
        <v>8.5699999999999993E-6</v>
      </c>
      <c r="K149" s="6">
        <f t="shared" si="2"/>
        <v>1</v>
      </c>
    </row>
    <row r="150" spans="1:11" ht="332" customHeight="1" x14ac:dyDescent="0.15">
      <c r="A150" s="13">
        <v>4347</v>
      </c>
      <c r="B150" s="14" t="s">
        <v>444</v>
      </c>
      <c r="C150" s="15" t="s">
        <v>445</v>
      </c>
      <c r="D150" s="15" t="s">
        <v>446</v>
      </c>
      <c r="E150" s="16">
        <v>112</v>
      </c>
      <c r="F150" s="16">
        <v>112</v>
      </c>
      <c r="G150" s="16">
        <v>100</v>
      </c>
      <c r="H150" s="16">
        <v>196</v>
      </c>
      <c r="I150" s="16">
        <v>296</v>
      </c>
      <c r="J150" s="17">
        <v>9.8400000000000007E-6</v>
      </c>
      <c r="K150" s="6">
        <f t="shared" si="2"/>
        <v>1</v>
      </c>
    </row>
    <row r="151" spans="1:11" ht="308" customHeight="1" x14ac:dyDescent="0.15">
      <c r="A151" s="13">
        <v>4690</v>
      </c>
      <c r="B151" s="14" t="s">
        <v>447</v>
      </c>
      <c r="C151" s="15" t="s">
        <v>448</v>
      </c>
      <c r="D151" s="15" t="s">
        <v>449</v>
      </c>
      <c r="E151" s="16">
        <v>3</v>
      </c>
      <c r="F151" s="16">
        <v>3</v>
      </c>
      <c r="G151" s="16">
        <v>94</v>
      </c>
      <c r="H151" s="16">
        <v>143</v>
      </c>
      <c r="I151" s="16">
        <v>237</v>
      </c>
      <c r="J151" s="19">
        <v>7.6000000000000001E-6</v>
      </c>
      <c r="K151" s="6">
        <f t="shared" si="2"/>
        <v>1</v>
      </c>
    </row>
    <row r="152" spans="1:11" ht="224" customHeight="1" x14ac:dyDescent="0.15">
      <c r="A152" s="13">
        <v>3910</v>
      </c>
      <c r="B152" s="14" t="s">
        <v>450</v>
      </c>
      <c r="C152" s="15" t="s">
        <v>451</v>
      </c>
      <c r="D152" s="21" t="s">
        <v>1500</v>
      </c>
      <c r="E152" s="16">
        <v>69</v>
      </c>
      <c r="F152" s="16">
        <v>66</v>
      </c>
      <c r="G152" s="16">
        <v>77</v>
      </c>
      <c r="H152" s="16">
        <v>119</v>
      </c>
      <c r="I152" s="16">
        <v>196</v>
      </c>
      <c r="J152" s="17">
        <v>7.4900000000000003E-6</v>
      </c>
      <c r="K152" s="6">
        <f t="shared" si="2"/>
        <v>0</v>
      </c>
    </row>
    <row r="153" spans="1:11" ht="392" customHeight="1" x14ac:dyDescent="0.15">
      <c r="A153" s="13">
        <v>3649</v>
      </c>
      <c r="B153" s="14" t="s">
        <v>452</v>
      </c>
      <c r="C153" s="15" t="s">
        <v>453</v>
      </c>
      <c r="D153" s="15" t="s">
        <v>454</v>
      </c>
      <c r="E153" s="16">
        <v>1158</v>
      </c>
      <c r="F153" s="16">
        <v>1158</v>
      </c>
      <c r="G153" s="16">
        <v>103</v>
      </c>
      <c r="H153" s="16">
        <v>216</v>
      </c>
      <c r="I153" s="16">
        <v>319</v>
      </c>
      <c r="J153" s="18">
        <v>1.2860000000000001E-5</v>
      </c>
      <c r="K153" s="6">
        <f t="shared" si="2"/>
        <v>1</v>
      </c>
    </row>
    <row r="154" spans="1:11" ht="344" customHeight="1" x14ac:dyDescent="0.15">
      <c r="A154" s="13">
        <v>5204</v>
      </c>
      <c r="B154" s="14" t="s">
        <v>455</v>
      </c>
      <c r="C154" s="15" t="s">
        <v>456</v>
      </c>
      <c r="D154" s="15" t="s">
        <v>457</v>
      </c>
      <c r="E154" s="16">
        <v>5</v>
      </c>
      <c r="F154" s="16">
        <v>5</v>
      </c>
      <c r="G154" s="16">
        <v>101</v>
      </c>
      <c r="H154" s="16">
        <v>181</v>
      </c>
      <c r="I154" s="16">
        <v>282</v>
      </c>
      <c r="J154" s="20">
        <v>6.7298999999999994E-5</v>
      </c>
      <c r="K154" s="6">
        <f t="shared" si="2"/>
        <v>1</v>
      </c>
    </row>
    <row r="155" spans="1:11" ht="248" customHeight="1" x14ac:dyDescent="0.15">
      <c r="A155" s="13">
        <v>748</v>
      </c>
      <c r="B155" s="14" t="s">
        <v>458</v>
      </c>
      <c r="C155" s="15" t="s">
        <v>459</v>
      </c>
      <c r="D155" s="15" t="s">
        <v>460</v>
      </c>
      <c r="E155" s="16">
        <v>9</v>
      </c>
      <c r="F155" s="16">
        <v>9</v>
      </c>
      <c r="G155" s="16">
        <v>83</v>
      </c>
      <c r="H155" s="16">
        <v>92</v>
      </c>
      <c r="I155" s="16">
        <v>175</v>
      </c>
      <c r="J155" s="17">
        <v>5.3399999999999997E-6</v>
      </c>
      <c r="K155" s="6">
        <f t="shared" si="2"/>
        <v>1</v>
      </c>
    </row>
    <row r="156" spans="1:11" ht="409.5" customHeight="1" x14ac:dyDescent="0.15">
      <c r="A156" s="13">
        <v>3918</v>
      </c>
      <c r="B156" s="14" t="s">
        <v>461</v>
      </c>
      <c r="C156" s="15" t="s">
        <v>462</v>
      </c>
      <c r="D156" s="15" t="s">
        <v>463</v>
      </c>
      <c r="E156" s="16">
        <v>166</v>
      </c>
      <c r="F156" s="16">
        <v>166</v>
      </c>
      <c r="G156" s="16">
        <v>136</v>
      </c>
      <c r="H156" s="16">
        <v>244</v>
      </c>
      <c r="I156" s="16">
        <v>380</v>
      </c>
      <c r="J156" s="18">
        <v>1.4919999999999999E-5</v>
      </c>
      <c r="K156" s="6">
        <f t="shared" si="2"/>
        <v>1</v>
      </c>
    </row>
    <row r="157" spans="1:11" ht="272" customHeight="1" x14ac:dyDescent="0.15">
      <c r="A157" s="13">
        <v>5755</v>
      </c>
      <c r="B157" s="14" t="s">
        <v>464</v>
      </c>
      <c r="C157" s="15" t="s">
        <v>465</v>
      </c>
      <c r="D157" s="15" t="s">
        <v>466</v>
      </c>
      <c r="E157" s="16">
        <v>35</v>
      </c>
      <c r="F157" s="16">
        <v>35</v>
      </c>
      <c r="G157" s="16">
        <v>72</v>
      </c>
      <c r="H157" s="16">
        <v>178</v>
      </c>
      <c r="I157" s="16">
        <v>250</v>
      </c>
      <c r="J157" s="18">
        <v>1.0339999999999999E-5</v>
      </c>
      <c r="K157" s="6">
        <f t="shared" si="2"/>
        <v>1</v>
      </c>
    </row>
    <row r="158" spans="1:11" ht="296" customHeight="1" x14ac:dyDescent="0.15">
      <c r="A158" s="13">
        <v>4622</v>
      </c>
      <c r="B158" s="14" t="s">
        <v>467</v>
      </c>
      <c r="C158" s="15" t="s">
        <v>468</v>
      </c>
      <c r="D158" s="15" t="s">
        <v>469</v>
      </c>
      <c r="E158" s="16">
        <v>1</v>
      </c>
      <c r="F158" s="16">
        <v>1</v>
      </c>
      <c r="G158" s="16">
        <v>91</v>
      </c>
      <c r="H158" s="16">
        <v>133</v>
      </c>
      <c r="I158" s="16">
        <v>224</v>
      </c>
      <c r="J158" s="17">
        <v>8.4700000000000002E-6</v>
      </c>
      <c r="K158" s="6">
        <f t="shared" si="2"/>
        <v>1</v>
      </c>
    </row>
    <row r="159" spans="1:11" ht="409.5" customHeight="1" x14ac:dyDescent="0.15">
      <c r="A159" s="13">
        <v>1880</v>
      </c>
      <c r="B159" s="14" t="s">
        <v>470</v>
      </c>
      <c r="C159" s="15" t="s">
        <v>471</v>
      </c>
      <c r="D159" s="15" t="s">
        <v>472</v>
      </c>
      <c r="E159" s="16">
        <v>6</v>
      </c>
      <c r="F159" s="16">
        <v>6</v>
      </c>
      <c r="G159" s="16">
        <v>110</v>
      </c>
      <c r="H159" s="16">
        <v>210</v>
      </c>
      <c r="I159" s="16">
        <v>320</v>
      </c>
      <c r="J159" s="17">
        <v>1.06E-5</v>
      </c>
      <c r="K159" s="6">
        <f t="shared" si="2"/>
        <v>1</v>
      </c>
    </row>
    <row r="160" spans="1:11" ht="164" customHeight="1" x14ac:dyDescent="0.15">
      <c r="A160" s="13">
        <v>1740</v>
      </c>
      <c r="B160" s="14" t="s">
        <v>473</v>
      </c>
      <c r="C160" s="15" t="s">
        <v>474</v>
      </c>
      <c r="D160" s="15" t="s">
        <v>475</v>
      </c>
      <c r="E160" s="16">
        <v>3450</v>
      </c>
      <c r="F160" s="16">
        <v>3450</v>
      </c>
      <c r="G160" s="16">
        <v>83</v>
      </c>
      <c r="H160" s="16">
        <v>96</v>
      </c>
      <c r="I160" s="16">
        <v>179</v>
      </c>
      <c r="J160" s="17">
        <v>6.46E-6</v>
      </c>
      <c r="K160" s="6">
        <f t="shared" si="2"/>
        <v>1</v>
      </c>
    </row>
    <row r="161" spans="1:11" ht="248" customHeight="1" x14ac:dyDescent="0.15">
      <c r="A161" s="13">
        <v>1652</v>
      </c>
      <c r="B161" s="14" t="s">
        <v>476</v>
      </c>
      <c r="C161" s="15" t="s">
        <v>477</v>
      </c>
      <c r="D161" s="15" t="s">
        <v>478</v>
      </c>
      <c r="E161" s="16">
        <v>30</v>
      </c>
      <c r="F161" s="16">
        <v>30</v>
      </c>
      <c r="G161" s="16">
        <v>81</v>
      </c>
      <c r="H161" s="16">
        <v>118</v>
      </c>
      <c r="I161" s="16">
        <v>199</v>
      </c>
      <c r="J161" s="17">
        <v>7.52E-6</v>
      </c>
      <c r="K161" s="6">
        <f t="shared" si="2"/>
        <v>1</v>
      </c>
    </row>
    <row r="162" spans="1:11" ht="248" customHeight="1" x14ac:dyDescent="0.15">
      <c r="A162" s="13">
        <v>1221</v>
      </c>
      <c r="B162" s="14" t="s">
        <v>479</v>
      </c>
      <c r="C162" s="15" t="s">
        <v>480</v>
      </c>
      <c r="D162" s="15" t="s">
        <v>481</v>
      </c>
      <c r="E162" s="16">
        <v>82</v>
      </c>
      <c r="F162" s="16">
        <v>99</v>
      </c>
      <c r="G162" s="16">
        <v>96</v>
      </c>
      <c r="H162" s="16">
        <v>121</v>
      </c>
      <c r="I162" s="16">
        <v>217</v>
      </c>
      <c r="J162" s="17">
        <v>6.7599999999999997E-6</v>
      </c>
      <c r="K162" s="6">
        <f t="shared" si="2"/>
        <v>0</v>
      </c>
    </row>
    <row r="163" spans="1:11" ht="188.75" customHeight="1" x14ac:dyDescent="0.15">
      <c r="A163" s="13">
        <v>6589</v>
      </c>
      <c r="B163" s="14" t="s">
        <v>482</v>
      </c>
      <c r="C163" s="15" t="s">
        <v>483</v>
      </c>
      <c r="D163" s="15" t="s">
        <v>484</v>
      </c>
      <c r="E163" s="16">
        <v>1</v>
      </c>
      <c r="F163" s="16">
        <v>3</v>
      </c>
      <c r="G163" s="16">
        <v>103</v>
      </c>
      <c r="H163" s="16">
        <v>305</v>
      </c>
      <c r="I163" s="16">
        <v>408</v>
      </c>
      <c r="J163" s="18">
        <v>1.4260000000000001E-5</v>
      </c>
      <c r="K163" s="6">
        <f t="shared" si="2"/>
        <v>0</v>
      </c>
    </row>
    <row r="164" spans="1:11" ht="409.5" customHeight="1" x14ac:dyDescent="0.15">
      <c r="A164" s="13">
        <v>319</v>
      </c>
      <c r="B164" s="14" t="s">
        <v>485</v>
      </c>
      <c r="C164" s="15" t="s">
        <v>486</v>
      </c>
      <c r="D164" s="15" t="s">
        <v>487</v>
      </c>
      <c r="E164" s="16">
        <v>18</v>
      </c>
      <c r="F164" s="16">
        <v>18</v>
      </c>
      <c r="G164" s="16">
        <v>94</v>
      </c>
      <c r="H164" s="16">
        <v>241</v>
      </c>
      <c r="I164" s="16">
        <v>335</v>
      </c>
      <c r="J164" s="18">
        <v>1.393E-5</v>
      </c>
      <c r="K164" s="6">
        <f t="shared" si="2"/>
        <v>1</v>
      </c>
    </row>
    <row r="165" spans="1:11" ht="260" customHeight="1" x14ac:dyDescent="0.15">
      <c r="A165" s="13">
        <v>2157</v>
      </c>
      <c r="B165" s="14" t="s">
        <v>488</v>
      </c>
      <c r="C165" s="15" t="s">
        <v>489</v>
      </c>
      <c r="D165" s="15" t="s">
        <v>490</v>
      </c>
      <c r="E165" s="16">
        <v>12</v>
      </c>
      <c r="F165" s="16">
        <v>12</v>
      </c>
      <c r="G165" s="16">
        <v>88</v>
      </c>
      <c r="H165" s="16">
        <v>133</v>
      </c>
      <c r="I165" s="16">
        <v>221</v>
      </c>
      <c r="J165" s="17">
        <v>8.4100000000000008E-6</v>
      </c>
      <c r="K165" s="6">
        <f t="shared" si="2"/>
        <v>1</v>
      </c>
    </row>
    <row r="166" spans="1:11" ht="224" customHeight="1" x14ac:dyDescent="0.15">
      <c r="A166" s="13">
        <v>1352</v>
      </c>
      <c r="B166" s="14" t="s">
        <v>491</v>
      </c>
      <c r="C166" s="15" t="s">
        <v>492</v>
      </c>
      <c r="D166" s="15" t="s">
        <v>493</v>
      </c>
      <c r="E166" s="16">
        <v>42000</v>
      </c>
      <c r="F166" s="16">
        <v>42000</v>
      </c>
      <c r="G166" s="16">
        <v>79</v>
      </c>
      <c r="H166" s="16">
        <v>101</v>
      </c>
      <c r="I166" s="16">
        <v>180</v>
      </c>
      <c r="J166" s="17">
        <v>5.6200000000000004E-6</v>
      </c>
      <c r="K166" s="6">
        <f t="shared" si="2"/>
        <v>1</v>
      </c>
    </row>
    <row r="167" spans="1:11" ht="409.5" customHeight="1" x14ac:dyDescent="0.15">
      <c r="A167" s="13">
        <v>1811</v>
      </c>
      <c r="B167" s="14" t="s">
        <v>494</v>
      </c>
      <c r="C167" s="15" t="s">
        <v>495</v>
      </c>
      <c r="D167" s="15" t="s">
        <v>496</v>
      </c>
      <c r="E167" s="16">
        <v>20</v>
      </c>
      <c r="F167" s="16">
        <v>20</v>
      </c>
      <c r="G167" s="16">
        <v>140</v>
      </c>
      <c r="H167" s="16">
        <v>175</v>
      </c>
      <c r="I167" s="16">
        <v>315</v>
      </c>
      <c r="J167" s="19">
        <v>9.7999999999999993E-6</v>
      </c>
      <c r="K167" s="6">
        <f t="shared" si="2"/>
        <v>1</v>
      </c>
    </row>
    <row r="168" spans="1:11" ht="409.5" customHeight="1" x14ac:dyDescent="0.15">
      <c r="A168" s="13">
        <v>3473</v>
      </c>
      <c r="B168" s="14" t="s">
        <v>497</v>
      </c>
      <c r="C168" s="15" t="s">
        <v>498</v>
      </c>
      <c r="D168" s="15" t="s">
        <v>499</v>
      </c>
      <c r="E168" s="16">
        <v>9</v>
      </c>
      <c r="F168" s="16">
        <v>9</v>
      </c>
      <c r="G168" s="16">
        <v>91</v>
      </c>
      <c r="H168" s="16">
        <v>242</v>
      </c>
      <c r="I168" s="16">
        <v>333</v>
      </c>
      <c r="J168" s="18">
        <v>1.3920000000000001E-5</v>
      </c>
      <c r="K168" s="6">
        <f t="shared" si="2"/>
        <v>1</v>
      </c>
    </row>
    <row r="169" spans="1:11" ht="260" customHeight="1" x14ac:dyDescent="0.15">
      <c r="A169" s="13">
        <v>3813</v>
      </c>
      <c r="B169" s="14" t="s">
        <v>500</v>
      </c>
      <c r="C169" s="15" t="s">
        <v>501</v>
      </c>
      <c r="D169" s="15" t="s">
        <v>502</v>
      </c>
      <c r="E169" s="16">
        <v>6</v>
      </c>
      <c r="F169" s="16">
        <v>6</v>
      </c>
      <c r="G169" s="16">
        <v>91</v>
      </c>
      <c r="H169" s="16">
        <v>136</v>
      </c>
      <c r="I169" s="16">
        <v>227</v>
      </c>
      <c r="J169" s="17">
        <v>8.6200000000000005E-6</v>
      </c>
      <c r="K169" s="6">
        <f t="shared" si="2"/>
        <v>1</v>
      </c>
    </row>
    <row r="170" spans="1:11" ht="188" customHeight="1" x14ac:dyDescent="0.15">
      <c r="A170" s="13">
        <v>2906</v>
      </c>
      <c r="B170" s="14" t="s">
        <v>503</v>
      </c>
      <c r="C170" s="15" t="s">
        <v>504</v>
      </c>
      <c r="D170" s="15" t="s">
        <v>505</v>
      </c>
      <c r="E170" s="16">
        <v>90</v>
      </c>
      <c r="F170" s="16">
        <v>90</v>
      </c>
      <c r="G170" s="16">
        <v>74</v>
      </c>
      <c r="H170" s="16">
        <v>83</v>
      </c>
      <c r="I170" s="16">
        <v>157</v>
      </c>
      <c r="J170" s="17">
        <v>5.6300000000000003E-6</v>
      </c>
      <c r="K170" s="6">
        <f t="shared" si="2"/>
        <v>1</v>
      </c>
    </row>
    <row r="171" spans="1:11" ht="404" customHeight="1" x14ac:dyDescent="0.15">
      <c r="A171" s="13">
        <v>6551</v>
      </c>
      <c r="B171" s="14" t="s">
        <v>506</v>
      </c>
      <c r="C171" s="15" t="s">
        <v>507</v>
      </c>
      <c r="D171" s="15" t="s">
        <v>508</v>
      </c>
      <c r="E171" s="16">
        <v>10</v>
      </c>
      <c r="F171" s="16">
        <v>10</v>
      </c>
      <c r="G171" s="16">
        <v>91</v>
      </c>
      <c r="H171" s="16">
        <v>172</v>
      </c>
      <c r="I171" s="16">
        <v>263</v>
      </c>
      <c r="J171" s="18">
        <v>1.042E-5</v>
      </c>
      <c r="K171" s="6">
        <f t="shared" si="2"/>
        <v>1</v>
      </c>
    </row>
    <row r="172" spans="1:11" ht="272" customHeight="1" x14ac:dyDescent="0.15">
      <c r="A172" s="13">
        <v>4522</v>
      </c>
      <c r="B172" s="14" t="s">
        <v>509</v>
      </c>
      <c r="C172" s="15" t="s">
        <v>510</v>
      </c>
      <c r="D172" s="15" t="s">
        <v>511</v>
      </c>
      <c r="E172" s="16">
        <v>72</v>
      </c>
      <c r="F172" s="16">
        <v>72</v>
      </c>
      <c r="G172" s="16">
        <v>89</v>
      </c>
      <c r="H172" s="16">
        <v>121</v>
      </c>
      <c r="I172" s="16">
        <v>210</v>
      </c>
      <c r="J172" s="17">
        <v>6.6200000000000001E-6</v>
      </c>
      <c r="K172" s="6">
        <f t="shared" si="2"/>
        <v>1</v>
      </c>
    </row>
    <row r="173" spans="1:11" ht="356" customHeight="1" x14ac:dyDescent="0.15">
      <c r="A173" s="13">
        <v>6958</v>
      </c>
      <c r="B173" s="14" t="s">
        <v>512</v>
      </c>
      <c r="C173" s="15" t="s">
        <v>513</v>
      </c>
      <c r="D173" s="21" t="s">
        <v>1501</v>
      </c>
      <c r="E173" s="16">
        <v>28</v>
      </c>
      <c r="F173" s="16">
        <v>26</v>
      </c>
      <c r="G173" s="16">
        <v>82</v>
      </c>
      <c r="H173" s="16">
        <v>167</v>
      </c>
      <c r="I173" s="16">
        <v>249</v>
      </c>
      <c r="J173" s="17">
        <v>8.32E-6</v>
      </c>
      <c r="K173" s="6">
        <f t="shared" si="2"/>
        <v>0</v>
      </c>
    </row>
    <row r="174" spans="1:11" ht="224" customHeight="1" x14ac:dyDescent="0.15">
      <c r="A174" s="13">
        <v>6679</v>
      </c>
      <c r="B174" s="14" t="s">
        <v>514</v>
      </c>
      <c r="C174" s="15" t="s">
        <v>515</v>
      </c>
      <c r="D174" s="15" t="s">
        <v>516</v>
      </c>
      <c r="E174" s="16">
        <v>15</v>
      </c>
      <c r="F174" s="16">
        <v>15</v>
      </c>
      <c r="G174" s="16">
        <v>95</v>
      </c>
      <c r="H174" s="16">
        <v>130</v>
      </c>
      <c r="I174" s="16">
        <v>225</v>
      </c>
      <c r="J174" s="19">
        <v>8.3999999999999992E-6</v>
      </c>
      <c r="K174" s="6">
        <f t="shared" si="2"/>
        <v>1</v>
      </c>
    </row>
    <row r="175" spans="1:11" ht="344" customHeight="1" x14ac:dyDescent="0.15">
      <c r="A175" s="13">
        <v>6220</v>
      </c>
      <c r="B175" s="14" t="s">
        <v>517</v>
      </c>
      <c r="C175" s="15" t="s">
        <v>518</v>
      </c>
      <c r="D175" s="15" t="s">
        <v>519</v>
      </c>
      <c r="E175" s="16">
        <v>32</v>
      </c>
      <c r="F175" s="16">
        <v>32</v>
      </c>
      <c r="G175" s="16">
        <v>91</v>
      </c>
      <c r="H175" s="16">
        <v>180</v>
      </c>
      <c r="I175" s="16">
        <v>271</v>
      </c>
      <c r="J175" s="17">
        <v>9.02E-6</v>
      </c>
      <c r="K175" s="6">
        <f t="shared" si="2"/>
        <v>1</v>
      </c>
    </row>
    <row r="176" spans="1:11" ht="409.5" customHeight="1" x14ac:dyDescent="0.15">
      <c r="A176" s="13">
        <v>6511</v>
      </c>
      <c r="B176" s="14" t="s">
        <v>520</v>
      </c>
      <c r="C176" s="15" t="s">
        <v>521</v>
      </c>
      <c r="D176" s="21" t="s">
        <v>1495</v>
      </c>
      <c r="E176" s="16">
        <v>184</v>
      </c>
      <c r="F176" s="16">
        <v>164</v>
      </c>
      <c r="G176" s="16">
        <v>140</v>
      </c>
      <c r="H176" s="16">
        <v>271</v>
      </c>
      <c r="I176" s="16">
        <v>411</v>
      </c>
      <c r="J176" s="18">
        <v>1.6350000000000001E-5</v>
      </c>
      <c r="K176" s="6">
        <f t="shared" si="2"/>
        <v>0</v>
      </c>
    </row>
    <row r="177" spans="1:11" ht="200" customHeight="1" x14ac:dyDescent="0.15">
      <c r="A177" s="13">
        <v>2149</v>
      </c>
      <c r="B177" s="14" t="s">
        <v>522</v>
      </c>
      <c r="C177" s="15" t="s">
        <v>523</v>
      </c>
      <c r="D177" s="15" t="s">
        <v>524</v>
      </c>
      <c r="E177" s="16">
        <v>4</v>
      </c>
      <c r="F177" s="16">
        <v>4</v>
      </c>
      <c r="G177" s="16">
        <v>75</v>
      </c>
      <c r="H177" s="16">
        <v>111</v>
      </c>
      <c r="I177" s="16">
        <v>186</v>
      </c>
      <c r="J177" s="17">
        <v>7.0500000000000003E-6</v>
      </c>
      <c r="K177" s="6">
        <f t="shared" si="2"/>
        <v>1</v>
      </c>
    </row>
    <row r="178" spans="1:11" ht="248" customHeight="1" x14ac:dyDescent="0.15">
      <c r="A178" s="13">
        <v>2781</v>
      </c>
      <c r="B178" s="14" t="s">
        <v>525</v>
      </c>
      <c r="C178" s="15" t="s">
        <v>526</v>
      </c>
      <c r="D178" s="15" t="s">
        <v>527</v>
      </c>
      <c r="E178" s="16">
        <v>36</v>
      </c>
      <c r="F178" s="16">
        <v>36</v>
      </c>
      <c r="G178" s="16">
        <v>100</v>
      </c>
      <c r="H178" s="16">
        <v>120</v>
      </c>
      <c r="I178" s="16">
        <v>220</v>
      </c>
      <c r="J178" s="19">
        <v>6.8000000000000001E-6</v>
      </c>
      <c r="K178" s="6">
        <f t="shared" si="2"/>
        <v>1</v>
      </c>
    </row>
    <row r="179" spans="1:11" ht="356" customHeight="1" x14ac:dyDescent="0.15">
      <c r="A179" s="13">
        <v>1407</v>
      </c>
      <c r="B179" s="14" t="s">
        <v>528</v>
      </c>
      <c r="C179" s="15" t="s">
        <v>529</v>
      </c>
      <c r="D179" s="21" t="s">
        <v>530</v>
      </c>
      <c r="E179" s="16">
        <v>55</v>
      </c>
      <c r="F179" s="16">
        <v>55</v>
      </c>
      <c r="G179" s="16">
        <v>82</v>
      </c>
      <c r="H179" s="16">
        <v>178</v>
      </c>
      <c r="I179" s="16">
        <v>260</v>
      </c>
      <c r="J179" s="17">
        <v>8.7600000000000008E-6</v>
      </c>
      <c r="K179" s="6">
        <f t="shared" si="2"/>
        <v>1</v>
      </c>
    </row>
    <row r="180" spans="1:11" ht="368" customHeight="1" x14ac:dyDescent="0.15">
      <c r="A180" s="13">
        <v>4563</v>
      </c>
      <c r="B180" s="14" t="s">
        <v>531</v>
      </c>
      <c r="C180" s="15" t="s">
        <v>532</v>
      </c>
      <c r="D180" s="15" t="s">
        <v>533</v>
      </c>
      <c r="E180" s="16">
        <v>3</v>
      </c>
      <c r="F180" s="16">
        <v>3</v>
      </c>
      <c r="G180" s="16">
        <v>96</v>
      </c>
      <c r="H180" s="16">
        <v>222</v>
      </c>
      <c r="I180" s="16">
        <v>318</v>
      </c>
      <c r="J180" s="17">
        <v>1.08E-5</v>
      </c>
      <c r="K180" s="6">
        <f t="shared" si="2"/>
        <v>1</v>
      </c>
    </row>
    <row r="181" spans="1:11" ht="320" customHeight="1" x14ac:dyDescent="0.15">
      <c r="A181" s="13">
        <v>6219</v>
      </c>
      <c r="B181" s="14" t="s">
        <v>534</v>
      </c>
      <c r="C181" s="15" t="s">
        <v>535</v>
      </c>
      <c r="D181" s="15" t="s">
        <v>536</v>
      </c>
      <c r="E181" s="16">
        <v>60</v>
      </c>
      <c r="F181" s="16">
        <v>60</v>
      </c>
      <c r="G181" s="16">
        <v>141</v>
      </c>
      <c r="H181" s="16">
        <v>178</v>
      </c>
      <c r="I181" s="16">
        <v>319</v>
      </c>
      <c r="J181" s="17">
        <v>9.9399999999999997E-6</v>
      </c>
      <c r="K181" s="6">
        <f t="shared" si="2"/>
        <v>1</v>
      </c>
    </row>
    <row r="182" spans="1:11" ht="332" customHeight="1" x14ac:dyDescent="0.15">
      <c r="A182" s="13">
        <v>6429</v>
      </c>
      <c r="B182" s="14" t="s">
        <v>537</v>
      </c>
      <c r="C182" s="15" t="s">
        <v>538</v>
      </c>
      <c r="D182" s="15" t="s">
        <v>539</v>
      </c>
      <c r="E182" s="16">
        <v>86</v>
      </c>
      <c r="F182" s="16">
        <v>86</v>
      </c>
      <c r="G182" s="16">
        <v>115</v>
      </c>
      <c r="H182" s="16">
        <v>160</v>
      </c>
      <c r="I182" s="16">
        <v>275</v>
      </c>
      <c r="J182" s="19">
        <v>8.6999999999999997E-6</v>
      </c>
      <c r="K182" s="6">
        <f t="shared" si="2"/>
        <v>1</v>
      </c>
    </row>
    <row r="183" spans="1:11" ht="200" customHeight="1" x14ac:dyDescent="0.15">
      <c r="A183" s="13">
        <v>6354</v>
      </c>
      <c r="B183" s="14" t="s">
        <v>540</v>
      </c>
      <c r="C183" s="15" t="s">
        <v>541</v>
      </c>
      <c r="D183" s="15" t="s">
        <v>542</v>
      </c>
      <c r="E183" s="16">
        <v>21</v>
      </c>
      <c r="F183" s="16">
        <v>21</v>
      </c>
      <c r="G183" s="16">
        <v>78</v>
      </c>
      <c r="H183" s="16">
        <v>109</v>
      </c>
      <c r="I183" s="16">
        <v>187</v>
      </c>
      <c r="J183" s="17">
        <v>7.0099999999999998E-6</v>
      </c>
      <c r="K183" s="6">
        <f t="shared" si="2"/>
        <v>1</v>
      </c>
    </row>
    <row r="184" spans="1:11" ht="296" customHeight="1" x14ac:dyDescent="0.15">
      <c r="A184" s="13">
        <v>828</v>
      </c>
      <c r="B184" s="14" t="s">
        <v>543</v>
      </c>
      <c r="C184" s="15" t="s">
        <v>544</v>
      </c>
      <c r="D184" s="15" t="s">
        <v>545</v>
      </c>
      <c r="E184" s="16">
        <v>32</v>
      </c>
      <c r="F184" s="16">
        <v>32</v>
      </c>
      <c r="G184" s="16">
        <v>82</v>
      </c>
      <c r="H184" s="16">
        <v>169</v>
      </c>
      <c r="I184" s="16">
        <v>251</v>
      </c>
      <c r="J184" s="19">
        <v>8.3999999999999992E-6</v>
      </c>
      <c r="K184" s="6">
        <f t="shared" si="2"/>
        <v>1</v>
      </c>
    </row>
    <row r="185" spans="1:11" ht="284" customHeight="1" x14ac:dyDescent="0.15">
      <c r="A185" s="13">
        <v>3279</v>
      </c>
      <c r="B185" s="14" t="s">
        <v>546</v>
      </c>
      <c r="C185" s="15" t="s">
        <v>547</v>
      </c>
      <c r="D185" s="15" t="s">
        <v>548</v>
      </c>
      <c r="E185" s="16">
        <v>160</v>
      </c>
      <c r="F185" s="16">
        <v>160</v>
      </c>
      <c r="G185" s="16">
        <v>73</v>
      </c>
      <c r="H185" s="16">
        <v>140</v>
      </c>
      <c r="I185" s="16">
        <v>213</v>
      </c>
      <c r="J185" s="17">
        <v>7.0600000000000002E-6</v>
      </c>
      <c r="K185" s="6">
        <f t="shared" si="2"/>
        <v>1</v>
      </c>
    </row>
    <row r="186" spans="1:11" ht="260" customHeight="1" x14ac:dyDescent="0.15">
      <c r="A186" s="13">
        <v>7019</v>
      </c>
      <c r="B186" s="14" t="s">
        <v>549</v>
      </c>
      <c r="C186" s="15" t="s">
        <v>550</v>
      </c>
      <c r="D186" s="15" t="s">
        <v>551</v>
      </c>
      <c r="E186" s="16">
        <v>25</v>
      </c>
      <c r="F186" s="16">
        <v>25</v>
      </c>
      <c r="G186" s="16">
        <v>98</v>
      </c>
      <c r="H186" s="16">
        <v>109</v>
      </c>
      <c r="I186" s="16">
        <v>207</v>
      </c>
      <c r="J186" s="17">
        <v>6.3199999999999996E-6</v>
      </c>
      <c r="K186" s="6">
        <f t="shared" si="2"/>
        <v>1</v>
      </c>
    </row>
    <row r="187" spans="1:11" ht="344" customHeight="1" x14ac:dyDescent="0.15">
      <c r="A187" s="13">
        <v>1410</v>
      </c>
      <c r="B187" s="14" t="s">
        <v>552</v>
      </c>
      <c r="C187" s="15" t="s">
        <v>553</v>
      </c>
      <c r="D187" s="15" t="s">
        <v>554</v>
      </c>
      <c r="E187" s="16">
        <v>30</v>
      </c>
      <c r="F187" s="16">
        <v>30</v>
      </c>
      <c r="G187" s="16">
        <v>82</v>
      </c>
      <c r="H187" s="16">
        <v>179</v>
      </c>
      <c r="I187" s="16">
        <v>261</v>
      </c>
      <c r="J187" s="19">
        <v>8.8000000000000004E-6</v>
      </c>
      <c r="K187" s="6">
        <f t="shared" si="2"/>
        <v>1</v>
      </c>
    </row>
    <row r="188" spans="1:11" ht="409.5" customHeight="1" x14ac:dyDescent="0.15">
      <c r="A188" s="13">
        <v>3260</v>
      </c>
      <c r="B188" s="14" t="s">
        <v>555</v>
      </c>
      <c r="C188" s="15" t="s">
        <v>556</v>
      </c>
      <c r="D188" s="15" t="s">
        <v>557</v>
      </c>
      <c r="E188" s="16">
        <v>338</v>
      </c>
      <c r="F188" s="16">
        <v>338</v>
      </c>
      <c r="G188" s="16">
        <v>107</v>
      </c>
      <c r="H188" s="16">
        <v>303</v>
      </c>
      <c r="I188" s="16">
        <v>410</v>
      </c>
      <c r="J188" s="18">
        <v>1.4260000000000001E-5</v>
      </c>
      <c r="K188" s="6">
        <f t="shared" si="2"/>
        <v>1</v>
      </c>
    </row>
    <row r="189" spans="1:11" ht="248" customHeight="1" x14ac:dyDescent="0.15">
      <c r="A189" s="13">
        <v>5495</v>
      </c>
      <c r="B189" s="14" t="s">
        <v>558</v>
      </c>
      <c r="C189" s="15" t="s">
        <v>559</v>
      </c>
      <c r="D189" s="15" t="s">
        <v>560</v>
      </c>
      <c r="E189" s="16">
        <v>14</v>
      </c>
      <c r="F189" s="16">
        <v>14</v>
      </c>
      <c r="G189" s="16">
        <v>104</v>
      </c>
      <c r="H189" s="16">
        <v>153</v>
      </c>
      <c r="I189" s="16">
        <v>257</v>
      </c>
      <c r="J189" s="19">
        <v>8.1999999999999994E-6</v>
      </c>
      <c r="K189" s="6">
        <f t="shared" si="2"/>
        <v>1</v>
      </c>
    </row>
    <row r="190" spans="1:11" ht="380" customHeight="1" x14ac:dyDescent="0.15">
      <c r="A190" s="13">
        <v>2298</v>
      </c>
      <c r="B190" s="14" t="s">
        <v>561</v>
      </c>
      <c r="C190" s="15" t="s">
        <v>562</v>
      </c>
      <c r="D190" s="15" t="s">
        <v>563</v>
      </c>
      <c r="E190" s="16">
        <v>9</v>
      </c>
      <c r="F190" s="16">
        <v>1</v>
      </c>
      <c r="G190" s="16">
        <v>80</v>
      </c>
      <c r="H190" s="16">
        <v>185</v>
      </c>
      <c r="I190" s="16">
        <v>265</v>
      </c>
      <c r="J190" s="18">
        <v>1.0849999999999999E-5</v>
      </c>
      <c r="K190" s="6">
        <f t="shared" si="2"/>
        <v>0</v>
      </c>
    </row>
    <row r="191" spans="1:11" ht="409.5" customHeight="1" x14ac:dyDescent="0.15">
      <c r="A191" s="13">
        <v>5364</v>
      </c>
      <c r="B191" s="14" t="s">
        <v>564</v>
      </c>
      <c r="C191" s="15" t="s">
        <v>565</v>
      </c>
      <c r="D191" s="15" t="s">
        <v>566</v>
      </c>
      <c r="E191" s="16">
        <v>4000</v>
      </c>
      <c r="F191" s="16">
        <v>4000</v>
      </c>
      <c r="G191" s="16">
        <v>118</v>
      </c>
      <c r="H191" s="16">
        <v>333</v>
      </c>
      <c r="I191" s="16">
        <v>451</v>
      </c>
      <c r="J191" s="18">
        <v>1.9009999999999999E-5</v>
      </c>
      <c r="K191" s="6">
        <f t="shared" si="2"/>
        <v>1</v>
      </c>
    </row>
    <row r="192" spans="1:11" ht="409.5" customHeight="1" x14ac:dyDescent="0.15">
      <c r="A192" s="13">
        <v>3872</v>
      </c>
      <c r="B192" s="14" t="s">
        <v>567</v>
      </c>
      <c r="C192" s="15" t="s">
        <v>568</v>
      </c>
      <c r="D192" s="15" t="s">
        <v>569</v>
      </c>
      <c r="E192" s="16">
        <v>55</v>
      </c>
      <c r="F192" s="16">
        <v>55</v>
      </c>
      <c r="G192" s="16">
        <v>146</v>
      </c>
      <c r="H192" s="16">
        <v>289</v>
      </c>
      <c r="I192" s="16">
        <v>435</v>
      </c>
      <c r="J192" s="18">
        <v>1.448E-5</v>
      </c>
      <c r="K192" s="6">
        <f t="shared" si="2"/>
        <v>1</v>
      </c>
    </row>
    <row r="193" spans="1:11" ht="344" customHeight="1" x14ac:dyDescent="0.15">
      <c r="A193" s="13">
        <v>4516</v>
      </c>
      <c r="B193" s="14" t="s">
        <v>570</v>
      </c>
      <c r="C193" s="15" t="s">
        <v>571</v>
      </c>
      <c r="D193" s="15" t="s">
        <v>572</v>
      </c>
      <c r="E193" s="16">
        <v>35</v>
      </c>
      <c r="F193" s="16">
        <v>35</v>
      </c>
      <c r="G193" s="16">
        <v>166</v>
      </c>
      <c r="H193" s="16">
        <v>225</v>
      </c>
      <c r="I193" s="16">
        <v>391</v>
      </c>
      <c r="J193" s="18">
        <v>1.2320000000000001E-5</v>
      </c>
      <c r="K193" s="6">
        <f t="shared" si="2"/>
        <v>1</v>
      </c>
    </row>
    <row r="194" spans="1:11" ht="236" customHeight="1" x14ac:dyDescent="0.15">
      <c r="A194" s="13">
        <v>79</v>
      </c>
      <c r="B194" s="14" t="s">
        <v>573</v>
      </c>
      <c r="C194" s="15" t="s">
        <v>574</v>
      </c>
      <c r="D194" s="15" t="s">
        <v>575</v>
      </c>
      <c r="E194" s="16">
        <v>70</v>
      </c>
      <c r="F194" s="16">
        <v>70</v>
      </c>
      <c r="G194" s="16">
        <v>70</v>
      </c>
      <c r="H194" s="16">
        <v>103</v>
      </c>
      <c r="I194" s="16">
        <v>173</v>
      </c>
      <c r="J194" s="17">
        <v>5.5199999999999997E-6</v>
      </c>
      <c r="K194" s="6">
        <f t="shared" si="2"/>
        <v>1</v>
      </c>
    </row>
    <row r="195" spans="1:11" ht="356" customHeight="1" x14ac:dyDescent="0.15">
      <c r="A195" s="13">
        <v>6301</v>
      </c>
      <c r="B195" s="14" t="s">
        <v>576</v>
      </c>
      <c r="C195" s="15" t="s">
        <v>577</v>
      </c>
      <c r="D195" s="15" t="s">
        <v>578</v>
      </c>
      <c r="E195" s="16">
        <v>55</v>
      </c>
      <c r="F195" s="16">
        <v>55</v>
      </c>
      <c r="G195" s="16">
        <v>75</v>
      </c>
      <c r="H195" s="16">
        <v>166</v>
      </c>
      <c r="I195" s="16">
        <v>241</v>
      </c>
      <c r="J195" s="19">
        <v>9.7999999999999993E-6</v>
      </c>
      <c r="K195" s="6">
        <f t="shared" si="2"/>
        <v>1</v>
      </c>
    </row>
    <row r="196" spans="1:11" ht="236" customHeight="1" x14ac:dyDescent="0.15">
      <c r="A196" s="13">
        <v>2436</v>
      </c>
      <c r="B196" s="14" t="s">
        <v>579</v>
      </c>
      <c r="C196" s="15" t="s">
        <v>580</v>
      </c>
      <c r="D196" s="15" t="s">
        <v>581</v>
      </c>
      <c r="E196" s="16">
        <v>5</v>
      </c>
      <c r="F196" s="16">
        <v>5</v>
      </c>
      <c r="G196" s="16">
        <v>87</v>
      </c>
      <c r="H196" s="16">
        <v>128</v>
      </c>
      <c r="I196" s="16">
        <v>215</v>
      </c>
      <c r="J196" s="17">
        <v>8.14E-6</v>
      </c>
      <c r="K196" s="6">
        <f t="shared" si="2"/>
        <v>1</v>
      </c>
    </row>
    <row r="197" spans="1:11" ht="392" customHeight="1" x14ac:dyDescent="0.15">
      <c r="A197" s="13">
        <v>4284</v>
      </c>
      <c r="B197" s="14" t="s">
        <v>582</v>
      </c>
      <c r="C197" s="15" t="s">
        <v>583</v>
      </c>
      <c r="D197" s="15" t="s">
        <v>584</v>
      </c>
      <c r="E197" s="16">
        <v>360</v>
      </c>
      <c r="F197" s="16">
        <v>360</v>
      </c>
      <c r="G197" s="16">
        <v>84</v>
      </c>
      <c r="H197" s="16">
        <v>167</v>
      </c>
      <c r="I197" s="16">
        <v>251</v>
      </c>
      <c r="J197" s="18">
        <v>1.0030000000000001E-5</v>
      </c>
      <c r="K197" s="6">
        <f t="shared" si="2"/>
        <v>1</v>
      </c>
    </row>
    <row r="198" spans="1:11" ht="260" customHeight="1" x14ac:dyDescent="0.15">
      <c r="A198" s="13">
        <v>5162</v>
      </c>
      <c r="B198" s="14" t="s">
        <v>585</v>
      </c>
      <c r="C198" s="15" t="s">
        <v>586</v>
      </c>
      <c r="D198" s="15" t="s">
        <v>587</v>
      </c>
      <c r="E198" s="16">
        <v>2</v>
      </c>
      <c r="F198" s="16">
        <v>2</v>
      </c>
      <c r="G198" s="16">
        <v>75</v>
      </c>
      <c r="H198" s="16">
        <v>107</v>
      </c>
      <c r="I198" s="16">
        <v>182</v>
      </c>
      <c r="J198" s="17">
        <v>6.8499999999999996E-6</v>
      </c>
      <c r="K198" s="6">
        <f t="shared" ref="K198:K261" si="3">IF(OR(ISBLANK(E198), ISBLANK(F198)), 0, IF(E198=F198, 1, 0))</f>
        <v>1</v>
      </c>
    </row>
    <row r="199" spans="1:11" ht="296" customHeight="1" x14ac:dyDescent="0.15">
      <c r="A199" s="13">
        <v>7348</v>
      </c>
      <c r="B199" s="14" t="s">
        <v>588</v>
      </c>
      <c r="C199" s="15" t="s">
        <v>589</v>
      </c>
      <c r="D199" s="15" t="s">
        <v>590</v>
      </c>
      <c r="E199" s="16">
        <v>33</v>
      </c>
      <c r="F199" s="16">
        <v>33</v>
      </c>
      <c r="G199" s="16">
        <v>79</v>
      </c>
      <c r="H199" s="16">
        <v>160</v>
      </c>
      <c r="I199" s="16">
        <v>239</v>
      </c>
      <c r="J199" s="17">
        <v>7.9799999999999998E-6</v>
      </c>
      <c r="K199" s="6">
        <f t="shared" si="3"/>
        <v>1</v>
      </c>
    </row>
    <row r="200" spans="1:11" ht="409.5" customHeight="1" x14ac:dyDescent="0.15">
      <c r="A200" s="13">
        <v>1662</v>
      </c>
      <c r="B200" s="14" t="s">
        <v>591</v>
      </c>
      <c r="C200" s="15" t="s">
        <v>592</v>
      </c>
      <c r="D200" s="15" t="s">
        <v>593</v>
      </c>
      <c r="E200" s="16">
        <v>15</v>
      </c>
      <c r="F200" s="16">
        <v>15</v>
      </c>
      <c r="G200" s="16">
        <v>102</v>
      </c>
      <c r="H200" s="16">
        <v>173</v>
      </c>
      <c r="I200" s="16">
        <v>275</v>
      </c>
      <c r="J200" s="17">
        <v>8.9600000000000006E-6</v>
      </c>
      <c r="K200" s="6">
        <f t="shared" si="3"/>
        <v>1</v>
      </c>
    </row>
    <row r="201" spans="1:11" ht="344" customHeight="1" x14ac:dyDescent="0.15">
      <c r="A201" s="13">
        <v>3689</v>
      </c>
      <c r="B201" s="14" t="s">
        <v>594</v>
      </c>
      <c r="C201" s="15" t="s">
        <v>595</v>
      </c>
      <c r="D201" s="15" t="s">
        <v>596</v>
      </c>
      <c r="E201" s="16">
        <v>6</v>
      </c>
      <c r="F201" s="16">
        <v>6</v>
      </c>
      <c r="G201" s="16">
        <v>106</v>
      </c>
      <c r="H201" s="16">
        <v>160</v>
      </c>
      <c r="I201" s="16">
        <v>266</v>
      </c>
      <c r="J201" s="17">
        <v>8.5199999999999997E-6</v>
      </c>
      <c r="K201" s="6">
        <f t="shared" si="3"/>
        <v>1</v>
      </c>
    </row>
    <row r="202" spans="1:11" ht="409.5" customHeight="1" x14ac:dyDescent="0.15">
      <c r="A202" s="13">
        <v>3125</v>
      </c>
      <c r="B202" s="14" t="s">
        <v>597</v>
      </c>
      <c r="C202" s="15" t="s">
        <v>598</v>
      </c>
      <c r="D202" s="15" t="s">
        <v>599</v>
      </c>
      <c r="E202" s="16">
        <v>20</v>
      </c>
      <c r="F202" s="16">
        <v>20</v>
      </c>
      <c r="G202" s="16">
        <v>117</v>
      </c>
      <c r="H202" s="16">
        <v>242</v>
      </c>
      <c r="I202" s="16">
        <v>359</v>
      </c>
      <c r="J202" s="18">
        <v>1.4440000000000001E-5</v>
      </c>
      <c r="K202" s="6">
        <f t="shared" si="3"/>
        <v>1</v>
      </c>
    </row>
    <row r="203" spans="1:11" ht="260" customHeight="1" x14ac:dyDescent="0.15">
      <c r="A203" s="13">
        <v>3055</v>
      </c>
      <c r="B203" s="14" t="s">
        <v>600</v>
      </c>
      <c r="C203" s="15" t="s">
        <v>601</v>
      </c>
      <c r="D203" s="15" t="s">
        <v>602</v>
      </c>
      <c r="E203" s="16">
        <v>64</v>
      </c>
      <c r="F203" s="16">
        <v>64</v>
      </c>
      <c r="G203" s="16">
        <v>80</v>
      </c>
      <c r="H203" s="16">
        <v>122</v>
      </c>
      <c r="I203" s="16">
        <v>202</v>
      </c>
      <c r="J203" s="17">
        <v>6.4799999999999998E-6</v>
      </c>
      <c r="K203" s="6">
        <f t="shared" si="3"/>
        <v>1</v>
      </c>
    </row>
    <row r="204" spans="1:11" ht="224" customHeight="1" x14ac:dyDescent="0.15">
      <c r="A204" s="13">
        <v>2886</v>
      </c>
      <c r="B204" s="14" t="s">
        <v>603</v>
      </c>
      <c r="C204" s="15" t="s">
        <v>604</v>
      </c>
      <c r="D204" s="15" t="s">
        <v>605</v>
      </c>
      <c r="E204" s="16">
        <v>495</v>
      </c>
      <c r="F204" s="16">
        <v>495</v>
      </c>
      <c r="G204" s="16">
        <v>73</v>
      </c>
      <c r="H204" s="16">
        <v>98</v>
      </c>
      <c r="I204" s="16">
        <v>171</v>
      </c>
      <c r="J204" s="17">
        <v>5.3800000000000002E-6</v>
      </c>
      <c r="K204" s="6">
        <f t="shared" si="3"/>
        <v>1</v>
      </c>
    </row>
    <row r="205" spans="1:11" ht="380" customHeight="1" x14ac:dyDescent="0.15">
      <c r="A205" s="13">
        <v>5086</v>
      </c>
      <c r="B205" s="14" t="s">
        <v>606</v>
      </c>
      <c r="C205" s="15" t="s">
        <v>607</v>
      </c>
      <c r="D205" s="15" t="s">
        <v>608</v>
      </c>
      <c r="E205" s="16">
        <v>7</v>
      </c>
      <c r="F205" s="16">
        <v>7</v>
      </c>
      <c r="G205" s="16">
        <v>129</v>
      </c>
      <c r="H205" s="16">
        <v>167</v>
      </c>
      <c r="I205" s="16">
        <v>296</v>
      </c>
      <c r="J205" s="18">
        <v>1.093E-5</v>
      </c>
      <c r="K205" s="6">
        <f t="shared" si="3"/>
        <v>1</v>
      </c>
    </row>
    <row r="206" spans="1:11" ht="260" customHeight="1" x14ac:dyDescent="0.15">
      <c r="A206" s="13">
        <v>4076</v>
      </c>
      <c r="B206" s="14" t="s">
        <v>609</v>
      </c>
      <c r="C206" s="15" t="s">
        <v>610</v>
      </c>
      <c r="D206" s="15" t="s">
        <v>611</v>
      </c>
      <c r="E206" s="16">
        <v>45</v>
      </c>
      <c r="F206" s="16">
        <v>45</v>
      </c>
      <c r="G206" s="16">
        <v>97</v>
      </c>
      <c r="H206" s="16">
        <v>123</v>
      </c>
      <c r="I206" s="16">
        <v>220</v>
      </c>
      <c r="J206" s="17">
        <v>8.0900000000000005E-6</v>
      </c>
      <c r="K206" s="6">
        <f t="shared" si="3"/>
        <v>1</v>
      </c>
    </row>
    <row r="207" spans="1:11" ht="409.5" customHeight="1" x14ac:dyDescent="0.15">
      <c r="A207" s="13">
        <v>251</v>
      </c>
      <c r="B207" s="14" t="s">
        <v>612</v>
      </c>
      <c r="C207" s="15" t="s">
        <v>613</v>
      </c>
      <c r="D207" s="15" t="s">
        <v>614</v>
      </c>
      <c r="E207" s="16">
        <v>138</v>
      </c>
      <c r="F207" s="16">
        <v>138</v>
      </c>
      <c r="G207" s="16">
        <v>101</v>
      </c>
      <c r="H207" s="16">
        <v>208</v>
      </c>
      <c r="I207" s="16">
        <v>309</v>
      </c>
      <c r="J207" s="18">
        <v>1.0339999999999999E-5</v>
      </c>
      <c r="K207" s="6">
        <f t="shared" si="3"/>
        <v>1</v>
      </c>
    </row>
    <row r="208" spans="1:11" ht="409.5" customHeight="1" x14ac:dyDescent="0.15">
      <c r="A208" s="13">
        <v>1328</v>
      </c>
      <c r="B208" s="14" t="s">
        <v>615</v>
      </c>
      <c r="C208" s="15" t="s">
        <v>616</v>
      </c>
      <c r="D208" s="21" t="s">
        <v>617</v>
      </c>
      <c r="E208" s="16">
        <v>9800</v>
      </c>
      <c r="F208" s="16">
        <v>140</v>
      </c>
      <c r="G208" s="16">
        <v>120</v>
      </c>
      <c r="H208" s="16">
        <v>256</v>
      </c>
      <c r="I208" s="16">
        <v>376</v>
      </c>
      <c r="J208" s="18">
        <v>1.2639999999999999E-5</v>
      </c>
      <c r="K208" s="6">
        <f t="shared" si="3"/>
        <v>0</v>
      </c>
    </row>
    <row r="209" spans="1:11" ht="308" customHeight="1" x14ac:dyDescent="0.15">
      <c r="A209" s="13">
        <v>711</v>
      </c>
      <c r="B209" s="14" t="s">
        <v>618</v>
      </c>
      <c r="C209" s="15" t="s">
        <v>619</v>
      </c>
      <c r="D209" s="15" t="s">
        <v>620</v>
      </c>
      <c r="E209" s="16">
        <v>120</v>
      </c>
      <c r="F209" s="16">
        <v>120</v>
      </c>
      <c r="G209" s="16">
        <v>82</v>
      </c>
      <c r="H209" s="16">
        <v>116</v>
      </c>
      <c r="I209" s="16">
        <v>198</v>
      </c>
      <c r="J209" s="17">
        <v>7.4399999999999999E-6</v>
      </c>
      <c r="K209" s="6">
        <f t="shared" si="3"/>
        <v>1</v>
      </c>
    </row>
    <row r="210" spans="1:11" ht="272" customHeight="1" x14ac:dyDescent="0.15">
      <c r="A210" s="13">
        <v>706</v>
      </c>
      <c r="B210" s="14" t="s">
        <v>621</v>
      </c>
      <c r="C210" s="15" t="s">
        <v>622</v>
      </c>
      <c r="D210" s="15" t="s">
        <v>623</v>
      </c>
      <c r="E210" s="16">
        <v>20</v>
      </c>
      <c r="F210" s="16">
        <v>20</v>
      </c>
      <c r="G210" s="16">
        <v>74</v>
      </c>
      <c r="H210" s="16">
        <v>118</v>
      </c>
      <c r="I210" s="16">
        <v>192</v>
      </c>
      <c r="J210" s="19">
        <v>6.1999999999999999E-6</v>
      </c>
      <c r="K210" s="6">
        <f t="shared" si="3"/>
        <v>1</v>
      </c>
    </row>
    <row r="211" spans="1:11" ht="284" customHeight="1" x14ac:dyDescent="0.15">
      <c r="A211" s="13">
        <v>6540</v>
      </c>
      <c r="B211" s="14" t="s">
        <v>624</v>
      </c>
      <c r="C211" s="15" t="s">
        <v>625</v>
      </c>
      <c r="D211" s="15" t="s">
        <v>626</v>
      </c>
      <c r="E211" s="16">
        <v>44</v>
      </c>
      <c r="F211" s="16">
        <v>56</v>
      </c>
      <c r="G211" s="16">
        <v>81</v>
      </c>
      <c r="H211" s="16">
        <v>111</v>
      </c>
      <c r="I211" s="16">
        <v>192</v>
      </c>
      <c r="J211" s="17">
        <v>6.0599999999999996E-6</v>
      </c>
      <c r="K211" s="6">
        <f t="shared" si="3"/>
        <v>0</v>
      </c>
    </row>
    <row r="212" spans="1:11" ht="409.5" customHeight="1" x14ac:dyDescent="0.15">
      <c r="A212" s="13">
        <v>6576</v>
      </c>
      <c r="B212" s="14" t="s">
        <v>627</v>
      </c>
      <c r="C212" s="15" t="s">
        <v>628</v>
      </c>
      <c r="D212" s="15" t="s">
        <v>629</v>
      </c>
      <c r="E212" s="16">
        <v>13</v>
      </c>
      <c r="F212" s="16">
        <v>13</v>
      </c>
      <c r="G212" s="16">
        <v>106</v>
      </c>
      <c r="H212" s="16">
        <v>251</v>
      </c>
      <c r="I212" s="16">
        <v>357</v>
      </c>
      <c r="J212" s="18">
        <v>1.467E-5</v>
      </c>
      <c r="K212" s="6">
        <f t="shared" si="3"/>
        <v>1</v>
      </c>
    </row>
    <row r="213" spans="1:11" ht="260" customHeight="1" x14ac:dyDescent="0.15">
      <c r="A213" s="13">
        <v>3501</v>
      </c>
      <c r="B213" s="14" t="s">
        <v>630</v>
      </c>
      <c r="C213" s="15" t="s">
        <v>631</v>
      </c>
      <c r="D213" s="15" t="s">
        <v>632</v>
      </c>
      <c r="E213" s="16">
        <v>4</v>
      </c>
      <c r="F213" s="16">
        <v>4</v>
      </c>
      <c r="G213" s="16">
        <v>88</v>
      </c>
      <c r="H213" s="16">
        <v>124</v>
      </c>
      <c r="I213" s="16">
        <v>212</v>
      </c>
      <c r="J213" s="17">
        <v>6.72E-6</v>
      </c>
      <c r="K213" s="6">
        <f t="shared" si="3"/>
        <v>1</v>
      </c>
    </row>
    <row r="214" spans="1:11" ht="409.5" customHeight="1" x14ac:dyDescent="0.15">
      <c r="A214" s="13">
        <v>2954</v>
      </c>
      <c r="B214" s="14" t="s">
        <v>633</v>
      </c>
      <c r="C214" s="15" t="s">
        <v>634</v>
      </c>
      <c r="D214" s="15" t="s">
        <v>635</v>
      </c>
      <c r="E214" s="16">
        <v>440</v>
      </c>
      <c r="F214" s="16">
        <v>440</v>
      </c>
      <c r="G214" s="16">
        <v>96</v>
      </c>
      <c r="H214" s="16">
        <v>304</v>
      </c>
      <c r="I214" s="16">
        <v>400</v>
      </c>
      <c r="J214" s="18">
        <v>1.4080000000000001E-5</v>
      </c>
      <c r="K214" s="6">
        <f t="shared" si="3"/>
        <v>1</v>
      </c>
    </row>
    <row r="215" spans="1:11" ht="409.5" customHeight="1" x14ac:dyDescent="0.15">
      <c r="A215" s="13">
        <v>4900</v>
      </c>
      <c r="B215" s="14" t="s">
        <v>636</v>
      </c>
      <c r="C215" s="15" t="s">
        <v>637</v>
      </c>
      <c r="D215" s="21" t="s">
        <v>1502</v>
      </c>
      <c r="E215" s="16">
        <v>30</v>
      </c>
      <c r="F215" s="16">
        <v>28</v>
      </c>
      <c r="G215" s="16">
        <v>84</v>
      </c>
      <c r="H215" s="16">
        <v>161</v>
      </c>
      <c r="I215" s="16">
        <v>245</v>
      </c>
      <c r="J215" s="17">
        <v>9.73E-6</v>
      </c>
      <c r="K215" s="6">
        <f t="shared" si="3"/>
        <v>0</v>
      </c>
    </row>
    <row r="216" spans="1:11" ht="409.5" customHeight="1" x14ac:dyDescent="0.15">
      <c r="A216" s="13">
        <v>1623</v>
      </c>
      <c r="B216" s="14" t="s">
        <v>638</v>
      </c>
      <c r="C216" s="15" t="s">
        <v>639</v>
      </c>
      <c r="D216" s="15" t="s">
        <v>640</v>
      </c>
      <c r="E216" s="16">
        <v>240</v>
      </c>
      <c r="F216" s="16">
        <v>240</v>
      </c>
      <c r="G216" s="16">
        <v>92</v>
      </c>
      <c r="H216" s="16">
        <v>259</v>
      </c>
      <c r="I216" s="16">
        <v>351</v>
      </c>
      <c r="J216" s="17">
        <v>1.22E-5</v>
      </c>
      <c r="K216" s="6">
        <f t="shared" si="3"/>
        <v>1</v>
      </c>
    </row>
    <row r="217" spans="1:11" ht="236" customHeight="1" x14ac:dyDescent="0.15">
      <c r="A217" s="13">
        <v>2399</v>
      </c>
      <c r="B217" s="14" t="s">
        <v>641</v>
      </c>
      <c r="C217" s="15" t="s">
        <v>642</v>
      </c>
      <c r="D217" s="15" t="s">
        <v>643</v>
      </c>
      <c r="E217" s="16">
        <v>40</v>
      </c>
      <c r="F217" s="16">
        <v>40</v>
      </c>
      <c r="G217" s="16">
        <v>87</v>
      </c>
      <c r="H217" s="16">
        <v>101</v>
      </c>
      <c r="I217" s="16">
        <v>188</v>
      </c>
      <c r="J217" s="17">
        <v>6.7900000000000002E-6</v>
      </c>
      <c r="K217" s="6">
        <f t="shared" si="3"/>
        <v>1</v>
      </c>
    </row>
    <row r="218" spans="1:11" ht="409.5" customHeight="1" x14ac:dyDescent="0.15">
      <c r="A218" s="13">
        <v>6704</v>
      </c>
      <c r="B218" s="14" t="s">
        <v>644</v>
      </c>
      <c r="C218" s="15" t="s">
        <v>645</v>
      </c>
      <c r="D218" s="15" t="s">
        <v>646</v>
      </c>
      <c r="E218" s="16">
        <v>2700</v>
      </c>
      <c r="F218" s="16">
        <v>2700</v>
      </c>
      <c r="G218" s="16">
        <v>89</v>
      </c>
      <c r="H218" s="16">
        <v>200</v>
      </c>
      <c r="I218" s="16">
        <v>289</v>
      </c>
      <c r="J218" s="17">
        <v>9.7799999999999995E-6</v>
      </c>
      <c r="K218" s="6">
        <f t="shared" si="3"/>
        <v>1</v>
      </c>
    </row>
    <row r="219" spans="1:11" ht="409.5" customHeight="1" x14ac:dyDescent="0.15">
      <c r="A219" s="13">
        <v>4626</v>
      </c>
      <c r="B219" s="14" t="s">
        <v>647</v>
      </c>
      <c r="C219" s="15" t="s">
        <v>648</v>
      </c>
      <c r="D219" s="15" t="s">
        <v>649</v>
      </c>
      <c r="E219" s="16">
        <v>160000</v>
      </c>
      <c r="F219" s="16">
        <v>60000</v>
      </c>
      <c r="G219" s="16">
        <v>113</v>
      </c>
      <c r="H219" s="16">
        <v>310</v>
      </c>
      <c r="I219" s="16">
        <v>423</v>
      </c>
      <c r="J219" s="18">
        <v>1.7759999999999999E-5</v>
      </c>
      <c r="K219" s="6">
        <f t="shared" si="3"/>
        <v>0</v>
      </c>
    </row>
    <row r="220" spans="1:11" ht="308" customHeight="1" x14ac:dyDescent="0.15">
      <c r="A220" s="13">
        <v>2589</v>
      </c>
      <c r="B220" s="14" t="s">
        <v>650</v>
      </c>
      <c r="C220" s="15" t="s">
        <v>651</v>
      </c>
      <c r="D220" s="15" t="s">
        <v>652</v>
      </c>
      <c r="E220" s="16">
        <v>40</v>
      </c>
      <c r="F220" s="16">
        <v>40</v>
      </c>
      <c r="G220" s="16">
        <v>91</v>
      </c>
      <c r="H220" s="16">
        <v>129</v>
      </c>
      <c r="I220" s="16">
        <v>220</v>
      </c>
      <c r="J220" s="17">
        <v>6.9800000000000001E-6</v>
      </c>
      <c r="K220" s="6">
        <f t="shared" si="3"/>
        <v>1</v>
      </c>
    </row>
    <row r="221" spans="1:11" ht="409.5" customHeight="1" x14ac:dyDescent="0.15">
      <c r="A221" s="13">
        <v>429</v>
      </c>
      <c r="B221" s="14" t="s">
        <v>653</v>
      </c>
      <c r="C221" s="15" t="s">
        <v>654</v>
      </c>
      <c r="D221" s="15" t="s">
        <v>655</v>
      </c>
      <c r="E221" s="16">
        <v>736</v>
      </c>
      <c r="F221" s="16">
        <v>736</v>
      </c>
      <c r="G221" s="16">
        <v>114</v>
      </c>
      <c r="H221" s="16">
        <v>230</v>
      </c>
      <c r="I221" s="16">
        <v>344</v>
      </c>
      <c r="J221" s="17">
        <v>2.41E-5</v>
      </c>
      <c r="K221" s="6">
        <f t="shared" si="3"/>
        <v>1</v>
      </c>
    </row>
    <row r="222" spans="1:11" ht="320" customHeight="1" x14ac:dyDescent="0.15">
      <c r="A222" s="13">
        <v>177</v>
      </c>
      <c r="B222" s="14" t="s">
        <v>656</v>
      </c>
      <c r="C222" s="15" t="s">
        <v>657</v>
      </c>
      <c r="D222" s="15" t="s">
        <v>658</v>
      </c>
      <c r="E222" s="16">
        <v>11000</v>
      </c>
      <c r="F222" s="16">
        <v>11000</v>
      </c>
      <c r="G222" s="16">
        <v>101</v>
      </c>
      <c r="H222" s="16">
        <v>169</v>
      </c>
      <c r="I222" s="16">
        <v>270</v>
      </c>
      <c r="J222" s="17">
        <v>8.7800000000000006E-6</v>
      </c>
      <c r="K222" s="6">
        <f t="shared" si="3"/>
        <v>1</v>
      </c>
    </row>
    <row r="223" spans="1:11" ht="260" customHeight="1" x14ac:dyDescent="0.15">
      <c r="A223" s="13">
        <v>1509</v>
      </c>
      <c r="B223" s="14" t="s">
        <v>659</v>
      </c>
      <c r="C223" s="15" t="s">
        <v>660</v>
      </c>
      <c r="D223" s="15" t="s">
        <v>661</v>
      </c>
      <c r="E223" s="16">
        <v>6</v>
      </c>
      <c r="F223" s="16">
        <v>6</v>
      </c>
      <c r="G223" s="16">
        <v>77</v>
      </c>
      <c r="H223" s="16">
        <v>124</v>
      </c>
      <c r="I223" s="16">
        <v>201</v>
      </c>
      <c r="J223" s="19">
        <v>6.4999999999999996E-6</v>
      </c>
      <c r="K223" s="6">
        <f t="shared" si="3"/>
        <v>1</v>
      </c>
    </row>
    <row r="224" spans="1:11" ht="212" customHeight="1" x14ac:dyDescent="0.15">
      <c r="A224" s="13">
        <v>4766</v>
      </c>
      <c r="B224" s="14" t="s">
        <v>662</v>
      </c>
      <c r="C224" s="15" t="s">
        <v>663</v>
      </c>
      <c r="D224" s="15" t="s">
        <v>664</v>
      </c>
      <c r="E224" s="16">
        <v>3</v>
      </c>
      <c r="F224" s="16">
        <v>3</v>
      </c>
      <c r="G224" s="16">
        <v>117</v>
      </c>
      <c r="H224" s="16">
        <v>105</v>
      </c>
      <c r="I224" s="16">
        <v>222</v>
      </c>
      <c r="J224" s="17">
        <v>7.5900000000000002E-6</v>
      </c>
      <c r="K224" s="6">
        <f t="shared" si="3"/>
        <v>1</v>
      </c>
    </row>
    <row r="225" spans="1:11" ht="409.5" customHeight="1" x14ac:dyDescent="0.15">
      <c r="A225" s="13">
        <v>5396</v>
      </c>
      <c r="B225" s="14" t="s">
        <v>665</v>
      </c>
      <c r="C225" s="15" t="s">
        <v>666</v>
      </c>
      <c r="D225" s="15" t="s">
        <v>667</v>
      </c>
      <c r="E225" s="16">
        <v>1170</v>
      </c>
      <c r="F225" s="16">
        <v>130</v>
      </c>
      <c r="G225" s="16">
        <v>111</v>
      </c>
      <c r="H225" s="16">
        <v>237</v>
      </c>
      <c r="I225" s="16">
        <v>348</v>
      </c>
      <c r="J225" s="17">
        <v>1.17E-5</v>
      </c>
      <c r="K225" s="6">
        <f t="shared" si="3"/>
        <v>0</v>
      </c>
    </row>
    <row r="226" spans="1:11" ht="409.5" customHeight="1" x14ac:dyDescent="0.15">
      <c r="A226" s="13">
        <v>1144</v>
      </c>
      <c r="B226" s="14" t="s">
        <v>668</v>
      </c>
      <c r="C226" s="15" t="s">
        <v>669</v>
      </c>
      <c r="D226" s="15" t="s">
        <v>670</v>
      </c>
      <c r="E226" s="16">
        <v>28</v>
      </c>
      <c r="F226" s="16">
        <v>28</v>
      </c>
      <c r="G226" s="16">
        <v>95</v>
      </c>
      <c r="H226" s="16">
        <v>313</v>
      </c>
      <c r="I226" s="16">
        <v>408</v>
      </c>
      <c r="J226" s="18">
        <v>1.4419999999999999E-5</v>
      </c>
      <c r="K226" s="6">
        <f t="shared" si="3"/>
        <v>1</v>
      </c>
    </row>
    <row r="227" spans="1:11" ht="296" customHeight="1" x14ac:dyDescent="0.15">
      <c r="A227" s="13">
        <v>6147</v>
      </c>
      <c r="B227" s="14" t="s">
        <v>671</v>
      </c>
      <c r="C227" s="15" t="s">
        <v>672</v>
      </c>
      <c r="D227" s="15" t="s">
        <v>673</v>
      </c>
      <c r="E227" s="16">
        <v>28</v>
      </c>
      <c r="F227" s="16">
        <v>28</v>
      </c>
      <c r="G227" s="16">
        <v>65</v>
      </c>
      <c r="H227" s="16">
        <v>150</v>
      </c>
      <c r="I227" s="16">
        <v>215</v>
      </c>
      <c r="J227" s="19">
        <v>7.3000000000000004E-6</v>
      </c>
      <c r="K227" s="6">
        <f t="shared" si="3"/>
        <v>1</v>
      </c>
    </row>
    <row r="228" spans="1:11" ht="320" customHeight="1" x14ac:dyDescent="0.15">
      <c r="A228" s="13">
        <v>6194</v>
      </c>
      <c r="B228" s="14" t="s">
        <v>674</v>
      </c>
      <c r="C228" s="15" t="s">
        <v>675</v>
      </c>
      <c r="D228" s="15" t="s">
        <v>676</v>
      </c>
      <c r="E228" s="16">
        <v>67</v>
      </c>
      <c r="F228" s="16">
        <v>67</v>
      </c>
      <c r="G228" s="16">
        <v>93</v>
      </c>
      <c r="H228" s="16">
        <v>126</v>
      </c>
      <c r="I228" s="16">
        <v>219</v>
      </c>
      <c r="J228" s="19">
        <v>6.9E-6</v>
      </c>
      <c r="K228" s="6">
        <f t="shared" si="3"/>
        <v>1</v>
      </c>
    </row>
    <row r="229" spans="1:11" ht="248" customHeight="1" x14ac:dyDescent="0.15">
      <c r="A229" s="13">
        <v>538</v>
      </c>
      <c r="B229" s="14" t="s">
        <v>677</v>
      </c>
      <c r="C229" s="15" t="s">
        <v>678</v>
      </c>
      <c r="D229" s="15" t="s">
        <v>679</v>
      </c>
      <c r="E229" s="16">
        <v>3450</v>
      </c>
      <c r="F229" s="16">
        <v>3450</v>
      </c>
      <c r="G229" s="16">
        <v>71</v>
      </c>
      <c r="H229" s="16">
        <v>95</v>
      </c>
      <c r="I229" s="16">
        <v>166</v>
      </c>
      <c r="J229" s="17">
        <v>5.22E-6</v>
      </c>
      <c r="K229" s="6">
        <f t="shared" si="3"/>
        <v>1</v>
      </c>
    </row>
    <row r="230" spans="1:11" ht="272" customHeight="1" x14ac:dyDescent="0.15">
      <c r="A230" s="13">
        <v>263</v>
      </c>
      <c r="B230" s="14" t="s">
        <v>680</v>
      </c>
      <c r="C230" s="15" t="s">
        <v>681</v>
      </c>
      <c r="D230" s="15" t="s">
        <v>682</v>
      </c>
      <c r="E230" s="16">
        <v>30</v>
      </c>
      <c r="F230" s="16">
        <v>30</v>
      </c>
      <c r="G230" s="16">
        <v>84</v>
      </c>
      <c r="H230" s="16">
        <v>116</v>
      </c>
      <c r="I230" s="16">
        <v>200</v>
      </c>
      <c r="J230" s="17">
        <v>6.3199999999999996E-6</v>
      </c>
      <c r="K230" s="6">
        <f t="shared" si="3"/>
        <v>1</v>
      </c>
    </row>
    <row r="231" spans="1:11" ht="392" customHeight="1" x14ac:dyDescent="0.15">
      <c r="A231" s="13">
        <v>5992</v>
      </c>
      <c r="B231" s="14" t="s">
        <v>683</v>
      </c>
      <c r="C231" s="15" t="s">
        <v>684</v>
      </c>
      <c r="D231" s="15" t="s">
        <v>685</v>
      </c>
      <c r="E231" s="16">
        <v>10</v>
      </c>
      <c r="F231" s="16">
        <v>5000</v>
      </c>
      <c r="G231" s="16">
        <v>87</v>
      </c>
      <c r="H231" s="16">
        <v>219</v>
      </c>
      <c r="I231" s="16">
        <v>306</v>
      </c>
      <c r="J231" s="17">
        <v>1.0499999999999999E-5</v>
      </c>
      <c r="K231" s="6">
        <f t="shared" si="3"/>
        <v>0</v>
      </c>
    </row>
    <row r="232" spans="1:11" ht="272" customHeight="1" x14ac:dyDescent="0.15">
      <c r="A232" s="13">
        <v>7423</v>
      </c>
      <c r="B232" s="14" t="s">
        <v>686</v>
      </c>
      <c r="C232" s="15" t="s">
        <v>687</v>
      </c>
      <c r="D232" s="15" t="s">
        <v>688</v>
      </c>
      <c r="E232" s="16">
        <v>10</v>
      </c>
      <c r="F232" s="16">
        <v>10</v>
      </c>
      <c r="G232" s="16">
        <v>99</v>
      </c>
      <c r="H232" s="16">
        <v>114</v>
      </c>
      <c r="I232" s="16">
        <v>213</v>
      </c>
      <c r="J232" s="18">
        <v>1.4070000000000001E-5</v>
      </c>
      <c r="K232" s="6">
        <f t="shared" si="3"/>
        <v>1</v>
      </c>
    </row>
    <row r="233" spans="1:11" ht="409.5" customHeight="1" x14ac:dyDescent="0.15">
      <c r="A233" s="13">
        <v>5693</v>
      </c>
      <c r="B233" s="14" t="s">
        <v>689</v>
      </c>
      <c r="C233" s="15" t="s">
        <v>690</v>
      </c>
      <c r="D233" s="15" t="s">
        <v>691</v>
      </c>
      <c r="E233" s="16">
        <v>34</v>
      </c>
      <c r="F233" s="16">
        <v>34</v>
      </c>
      <c r="G233" s="16">
        <v>134</v>
      </c>
      <c r="H233" s="16">
        <v>219</v>
      </c>
      <c r="I233" s="16">
        <v>353</v>
      </c>
      <c r="J233" s="18">
        <v>1.1440000000000001E-5</v>
      </c>
      <c r="K233" s="6">
        <f t="shared" si="3"/>
        <v>1</v>
      </c>
    </row>
    <row r="234" spans="1:11" ht="409.5" customHeight="1" x14ac:dyDescent="0.15">
      <c r="A234" s="13">
        <v>5214</v>
      </c>
      <c r="B234" s="14" t="s">
        <v>692</v>
      </c>
      <c r="C234" s="15" t="s">
        <v>693</v>
      </c>
      <c r="D234" s="15" t="s">
        <v>694</v>
      </c>
      <c r="E234" s="16">
        <v>120</v>
      </c>
      <c r="F234" s="16">
        <v>120</v>
      </c>
      <c r="G234" s="16">
        <v>109</v>
      </c>
      <c r="H234" s="16">
        <v>366</v>
      </c>
      <c r="I234" s="16">
        <v>475</v>
      </c>
      <c r="J234" s="18">
        <v>1.6820000000000002E-5</v>
      </c>
      <c r="K234" s="6">
        <f t="shared" si="3"/>
        <v>1</v>
      </c>
    </row>
    <row r="235" spans="1:11" ht="368" customHeight="1" x14ac:dyDescent="0.15">
      <c r="A235" s="13">
        <v>1859</v>
      </c>
      <c r="B235" s="14" t="s">
        <v>695</v>
      </c>
      <c r="C235" s="15" t="s">
        <v>696</v>
      </c>
      <c r="D235" s="15" t="s">
        <v>697</v>
      </c>
      <c r="E235" s="16">
        <v>2100</v>
      </c>
      <c r="F235" s="16">
        <v>2100</v>
      </c>
      <c r="G235" s="16">
        <v>74</v>
      </c>
      <c r="H235" s="16">
        <v>175</v>
      </c>
      <c r="I235" s="16">
        <v>249</v>
      </c>
      <c r="J235" s="18">
        <v>1.023E-5</v>
      </c>
      <c r="K235" s="6">
        <f t="shared" si="3"/>
        <v>1</v>
      </c>
    </row>
    <row r="236" spans="1:11" ht="344" customHeight="1" x14ac:dyDescent="0.15">
      <c r="A236" s="13">
        <v>2802</v>
      </c>
      <c r="B236" s="14" t="s">
        <v>698</v>
      </c>
      <c r="C236" s="15" t="s">
        <v>699</v>
      </c>
      <c r="D236" s="15" t="s">
        <v>700</v>
      </c>
      <c r="E236" s="16">
        <v>112</v>
      </c>
      <c r="F236" s="16">
        <v>112</v>
      </c>
      <c r="G236" s="16">
        <v>83</v>
      </c>
      <c r="H236" s="16">
        <v>156</v>
      </c>
      <c r="I236" s="16">
        <v>239</v>
      </c>
      <c r="J236" s="19">
        <v>7.9000000000000006E-6</v>
      </c>
      <c r="K236" s="6">
        <f t="shared" si="3"/>
        <v>1</v>
      </c>
    </row>
    <row r="237" spans="1:11" ht="356" customHeight="1" x14ac:dyDescent="0.15">
      <c r="A237" s="13">
        <v>6267</v>
      </c>
      <c r="B237" s="14" t="s">
        <v>701</v>
      </c>
      <c r="C237" s="15" t="s">
        <v>702</v>
      </c>
      <c r="D237" s="21" t="s">
        <v>1496</v>
      </c>
      <c r="E237" s="16">
        <v>300</v>
      </c>
      <c r="F237" s="16">
        <v>288</v>
      </c>
      <c r="G237" s="16">
        <v>87</v>
      </c>
      <c r="H237" s="16">
        <v>183</v>
      </c>
      <c r="I237" s="16">
        <v>270</v>
      </c>
      <c r="J237" s="17">
        <v>9.0599999999999997E-6</v>
      </c>
      <c r="K237" s="6">
        <f t="shared" si="3"/>
        <v>0</v>
      </c>
    </row>
    <row r="238" spans="1:11" ht="409.5" customHeight="1" x14ac:dyDescent="0.15">
      <c r="A238" s="13">
        <v>3045</v>
      </c>
      <c r="B238" s="14" t="s">
        <v>703</v>
      </c>
      <c r="C238" s="15" t="s">
        <v>704</v>
      </c>
      <c r="D238" s="15" t="s">
        <v>705</v>
      </c>
      <c r="E238" s="16">
        <v>950</v>
      </c>
      <c r="F238" s="16">
        <v>950</v>
      </c>
      <c r="G238" s="16">
        <v>119</v>
      </c>
      <c r="H238" s="16">
        <v>281</v>
      </c>
      <c r="I238" s="16">
        <v>400</v>
      </c>
      <c r="J238" s="18">
        <v>1.362E-5</v>
      </c>
      <c r="K238" s="6">
        <f t="shared" si="3"/>
        <v>1</v>
      </c>
    </row>
    <row r="239" spans="1:11" ht="344" customHeight="1" x14ac:dyDescent="0.15">
      <c r="A239" s="13">
        <v>2124</v>
      </c>
      <c r="B239" s="14" t="s">
        <v>706</v>
      </c>
      <c r="C239" s="15" t="s">
        <v>707</v>
      </c>
      <c r="D239" s="15" t="s">
        <v>708</v>
      </c>
      <c r="E239" s="16">
        <v>15</v>
      </c>
      <c r="F239" s="16">
        <v>15</v>
      </c>
      <c r="G239" s="16">
        <v>96</v>
      </c>
      <c r="H239" s="16">
        <v>169</v>
      </c>
      <c r="I239" s="16">
        <v>265</v>
      </c>
      <c r="J239" s="17">
        <v>8.6799999999999999E-6</v>
      </c>
      <c r="K239" s="6">
        <f t="shared" si="3"/>
        <v>1</v>
      </c>
    </row>
    <row r="240" spans="1:11" ht="409.5" customHeight="1" x14ac:dyDescent="0.15">
      <c r="A240" s="13">
        <v>6608</v>
      </c>
      <c r="B240" s="14" t="s">
        <v>709</v>
      </c>
      <c r="C240" s="15" t="s">
        <v>710</v>
      </c>
      <c r="D240" s="15" t="s">
        <v>711</v>
      </c>
      <c r="E240" s="16">
        <v>455000</v>
      </c>
      <c r="F240" s="23"/>
      <c r="G240" s="16">
        <v>150</v>
      </c>
      <c r="H240" s="16">
        <v>300</v>
      </c>
      <c r="I240" s="16">
        <v>450</v>
      </c>
      <c r="J240" s="17">
        <v>3.15E-5</v>
      </c>
      <c r="K240" s="6">
        <f t="shared" si="3"/>
        <v>0</v>
      </c>
    </row>
    <row r="241" spans="1:11" ht="248" customHeight="1" x14ac:dyDescent="0.15">
      <c r="A241" s="13">
        <v>1502</v>
      </c>
      <c r="B241" s="14" t="s">
        <v>712</v>
      </c>
      <c r="C241" s="15" t="s">
        <v>713</v>
      </c>
      <c r="D241" s="15" t="s">
        <v>714</v>
      </c>
      <c r="E241" s="16">
        <v>4</v>
      </c>
      <c r="F241" s="16">
        <v>4</v>
      </c>
      <c r="G241" s="16">
        <v>105</v>
      </c>
      <c r="H241" s="16">
        <v>135</v>
      </c>
      <c r="I241" s="16">
        <v>240</v>
      </c>
      <c r="J241" s="19">
        <v>7.5000000000000002E-6</v>
      </c>
      <c r="K241" s="6">
        <f t="shared" si="3"/>
        <v>1</v>
      </c>
    </row>
    <row r="242" spans="1:11" ht="380" customHeight="1" x14ac:dyDescent="0.15">
      <c r="A242" s="13">
        <v>4371</v>
      </c>
      <c r="B242" s="14" t="s">
        <v>715</v>
      </c>
      <c r="C242" s="15" t="s">
        <v>716</v>
      </c>
      <c r="D242" s="15" t="s">
        <v>717</v>
      </c>
      <c r="E242" s="16">
        <v>28</v>
      </c>
      <c r="F242" s="16">
        <v>28</v>
      </c>
      <c r="G242" s="16">
        <v>102</v>
      </c>
      <c r="H242" s="16">
        <v>160</v>
      </c>
      <c r="I242" s="16">
        <v>262</v>
      </c>
      <c r="J242" s="17">
        <v>8.4400000000000005E-6</v>
      </c>
      <c r="K242" s="6">
        <f t="shared" si="3"/>
        <v>1</v>
      </c>
    </row>
    <row r="243" spans="1:11" ht="409.5" customHeight="1" x14ac:dyDescent="0.15">
      <c r="A243" s="13">
        <v>3574</v>
      </c>
      <c r="B243" s="14" t="s">
        <v>718</v>
      </c>
      <c r="C243" s="15" t="s">
        <v>719</v>
      </c>
      <c r="D243" s="15" t="s">
        <v>720</v>
      </c>
      <c r="E243" s="16">
        <v>120</v>
      </c>
      <c r="F243" s="16">
        <v>72</v>
      </c>
      <c r="G243" s="16">
        <v>120</v>
      </c>
      <c r="H243" s="16">
        <v>313</v>
      </c>
      <c r="I243" s="16">
        <v>433</v>
      </c>
      <c r="J243" s="18">
        <v>1.4919999999999999E-5</v>
      </c>
      <c r="K243" s="6">
        <f t="shared" si="3"/>
        <v>0</v>
      </c>
    </row>
    <row r="244" spans="1:11" ht="409.5" customHeight="1" x14ac:dyDescent="0.15">
      <c r="A244" s="13">
        <v>1952</v>
      </c>
      <c r="B244" s="14" t="s">
        <v>721</v>
      </c>
      <c r="C244" s="15" t="s">
        <v>722</v>
      </c>
      <c r="D244" s="15" t="s">
        <v>723</v>
      </c>
      <c r="E244" s="16">
        <v>12</v>
      </c>
      <c r="F244" s="16">
        <v>12</v>
      </c>
      <c r="G244" s="16">
        <v>108</v>
      </c>
      <c r="H244" s="16">
        <v>312</v>
      </c>
      <c r="I244" s="16">
        <v>420</v>
      </c>
      <c r="J244" s="18">
        <v>1.464E-5</v>
      </c>
      <c r="K244" s="6">
        <f t="shared" si="3"/>
        <v>1</v>
      </c>
    </row>
    <row r="245" spans="1:11" ht="212" customHeight="1" x14ac:dyDescent="0.15">
      <c r="A245" s="13">
        <v>1565</v>
      </c>
      <c r="B245" s="14" t="s">
        <v>724</v>
      </c>
      <c r="C245" s="15" t="s">
        <v>725</v>
      </c>
      <c r="D245" s="15" t="s">
        <v>726</v>
      </c>
      <c r="E245" s="16">
        <v>13</v>
      </c>
      <c r="F245" s="16">
        <v>13</v>
      </c>
      <c r="G245" s="16">
        <v>104</v>
      </c>
      <c r="H245" s="16">
        <v>93</v>
      </c>
      <c r="I245" s="16">
        <v>197</v>
      </c>
      <c r="J245" s="19">
        <v>5.8000000000000004E-6</v>
      </c>
      <c r="K245" s="6">
        <f t="shared" si="3"/>
        <v>1</v>
      </c>
    </row>
    <row r="246" spans="1:11" ht="320" customHeight="1" x14ac:dyDescent="0.15">
      <c r="A246" s="13">
        <v>1840</v>
      </c>
      <c r="B246" s="14" t="s">
        <v>727</v>
      </c>
      <c r="C246" s="15" t="s">
        <v>728</v>
      </c>
      <c r="D246" s="15" t="s">
        <v>729</v>
      </c>
      <c r="E246" s="16">
        <v>4</v>
      </c>
      <c r="F246" s="16">
        <v>4</v>
      </c>
      <c r="G246" s="16">
        <v>84</v>
      </c>
      <c r="H246" s="16">
        <v>171</v>
      </c>
      <c r="I246" s="16">
        <v>255</v>
      </c>
      <c r="J246" s="17">
        <v>8.5199999999999997E-6</v>
      </c>
      <c r="K246" s="6">
        <f t="shared" si="3"/>
        <v>1</v>
      </c>
    </row>
    <row r="247" spans="1:11" ht="409.5" customHeight="1" x14ac:dyDescent="0.15">
      <c r="A247" s="13">
        <v>3153</v>
      </c>
      <c r="B247" s="14" t="s">
        <v>730</v>
      </c>
      <c r="C247" s="15" t="s">
        <v>731</v>
      </c>
      <c r="D247" s="15" t="s">
        <v>732</v>
      </c>
      <c r="E247" s="16">
        <v>60</v>
      </c>
      <c r="F247" s="16">
        <v>60</v>
      </c>
      <c r="G247" s="16">
        <v>82</v>
      </c>
      <c r="H247" s="16">
        <v>182</v>
      </c>
      <c r="I247" s="16">
        <v>264</v>
      </c>
      <c r="J247" s="17">
        <v>8.9199999999999993E-6</v>
      </c>
      <c r="K247" s="6">
        <f t="shared" si="3"/>
        <v>1</v>
      </c>
    </row>
    <row r="248" spans="1:11" ht="409.5" customHeight="1" x14ac:dyDescent="0.15">
      <c r="A248" s="13">
        <v>6138</v>
      </c>
      <c r="B248" s="14" t="s">
        <v>733</v>
      </c>
      <c r="C248" s="15" t="s">
        <v>734</v>
      </c>
      <c r="D248" s="15" t="s">
        <v>735</v>
      </c>
      <c r="E248" s="16">
        <v>30</v>
      </c>
      <c r="F248" s="16">
        <v>30</v>
      </c>
      <c r="G248" s="16">
        <v>119</v>
      </c>
      <c r="H248" s="16">
        <v>252</v>
      </c>
      <c r="I248" s="16">
        <v>371</v>
      </c>
      <c r="J248" s="18">
        <v>1.2459999999999999E-5</v>
      </c>
      <c r="K248" s="6">
        <f t="shared" si="3"/>
        <v>1</v>
      </c>
    </row>
    <row r="249" spans="1:11" ht="409.5" customHeight="1" x14ac:dyDescent="0.15">
      <c r="A249" s="13">
        <v>5888</v>
      </c>
      <c r="B249" s="14" t="s">
        <v>736</v>
      </c>
      <c r="C249" s="15" t="s">
        <v>737</v>
      </c>
      <c r="D249" s="15" t="s">
        <v>738</v>
      </c>
      <c r="E249" s="16">
        <v>920</v>
      </c>
      <c r="F249" s="16">
        <v>920</v>
      </c>
      <c r="G249" s="16">
        <v>92</v>
      </c>
      <c r="H249" s="16">
        <v>191</v>
      </c>
      <c r="I249" s="16">
        <v>283</v>
      </c>
      <c r="J249" s="17">
        <v>9.4800000000000007E-6</v>
      </c>
      <c r="K249" s="6">
        <f t="shared" si="3"/>
        <v>1</v>
      </c>
    </row>
    <row r="250" spans="1:11" ht="260" customHeight="1" x14ac:dyDescent="0.15">
      <c r="A250" s="13">
        <v>5006</v>
      </c>
      <c r="B250" s="14" t="s">
        <v>739</v>
      </c>
      <c r="C250" s="15" t="s">
        <v>740</v>
      </c>
      <c r="D250" s="15" t="s">
        <v>741</v>
      </c>
      <c r="E250" s="16">
        <v>3</v>
      </c>
      <c r="F250" s="16">
        <v>3</v>
      </c>
      <c r="G250" s="16">
        <v>75</v>
      </c>
      <c r="H250" s="16">
        <v>110</v>
      </c>
      <c r="I250" s="16">
        <v>185</v>
      </c>
      <c r="J250" s="19">
        <v>5.9000000000000003E-6</v>
      </c>
      <c r="K250" s="6">
        <f t="shared" si="3"/>
        <v>1</v>
      </c>
    </row>
    <row r="251" spans="1:11" ht="409.5" customHeight="1" x14ac:dyDescent="0.15">
      <c r="A251" s="13">
        <v>3142</v>
      </c>
      <c r="B251" s="14" t="s">
        <v>742</v>
      </c>
      <c r="C251" s="15" t="s">
        <v>743</v>
      </c>
      <c r="D251" s="15" t="s">
        <v>744</v>
      </c>
      <c r="E251" s="16">
        <v>4000</v>
      </c>
      <c r="F251" s="16">
        <v>4000</v>
      </c>
      <c r="G251" s="16">
        <v>98</v>
      </c>
      <c r="H251" s="16">
        <v>338</v>
      </c>
      <c r="I251" s="16">
        <v>436</v>
      </c>
      <c r="J251" s="18">
        <v>1.5480000000000001E-5</v>
      </c>
      <c r="K251" s="6">
        <f t="shared" si="3"/>
        <v>1</v>
      </c>
    </row>
    <row r="252" spans="1:11" ht="409.5" customHeight="1" x14ac:dyDescent="0.15">
      <c r="A252" s="13">
        <v>1412</v>
      </c>
      <c r="B252" s="14" t="s">
        <v>745</v>
      </c>
      <c r="C252" s="15" t="s">
        <v>746</v>
      </c>
      <c r="D252" s="15" t="s">
        <v>747</v>
      </c>
      <c r="E252" s="16">
        <v>231</v>
      </c>
      <c r="F252" s="16">
        <v>294</v>
      </c>
      <c r="G252" s="16">
        <v>129</v>
      </c>
      <c r="H252" s="16">
        <v>356</v>
      </c>
      <c r="I252" s="16">
        <v>485</v>
      </c>
      <c r="J252" s="18">
        <v>1.6820000000000002E-5</v>
      </c>
      <c r="K252" s="6">
        <f t="shared" si="3"/>
        <v>0</v>
      </c>
    </row>
    <row r="253" spans="1:11" ht="409.5" customHeight="1" x14ac:dyDescent="0.15">
      <c r="A253" s="13">
        <v>2318</v>
      </c>
      <c r="B253" s="14" t="s">
        <v>748</v>
      </c>
      <c r="C253" s="15" t="s">
        <v>749</v>
      </c>
      <c r="D253" s="15" t="s">
        <v>750</v>
      </c>
      <c r="E253" s="16">
        <v>4</v>
      </c>
      <c r="F253" s="16">
        <v>4</v>
      </c>
      <c r="G253" s="16">
        <v>120</v>
      </c>
      <c r="H253" s="16">
        <v>215</v>
      </c>
      <c r="I253" s="16">
        <v>335</v>
      </c>
      <c r="J253" s="19">
        <v>1.1E-5</v>
      </c>
      <c r="K253" s="6">
        <f t="shared" si="3"/>
        <v>1</v>
      </c>
    </row>
    <row r="254" spans="1:11" ht="224" customHeight="1" x14ac:dyDescent="0.15">
      <c r="A254" s="13">
        <v>1302</v>
      </c>
      <c r="B254" s="14" t="s">
        <v>751</v>
      </c>
      <c r="C254" s="15" t="s">
        <v>752</v>
      </c>
      <c r="D254" s="15" t="s">
        <v>753</v>
      </c>
      <c r="E254" s="16">
        <v>320</v>
      </c>
      <c r="F254" s="16">
        <v>320</v>
      </c>
      <c r="G254" s="16">
        <v>88</v>
      </c>
      <c r="H254" s="16">
        <v>101</v>
      </c>
      <c r="I254" s="16">
        <v>189</v>
      </c>
      <c r="J254" s="19">
        <v>5.8000000000000004E-6</v>
      </c>
      <c r="K254" s="6">
        <f t="shared" si="3"/>
        <v>1</v>
      </c>
    </row>
    <row r="255" spans="1:11" ht="320" customHeight="1" x14ac:dyDescent="0.15">
      <c r="A255" s="13">
        <v>2818</v>
      </c>
      <c r="B255" s="14" t="s">
        <v>754</v>
      </c>
      <c r="C255" s="15" t="s">
        <v>755</v>
      </c>
      <c r="D255" s="21" t="s">
        <v>1507</v>
      </c>
      <c r="E255" s="16">
        <v>280</v>
      </c>
      <c r="F255" s="16">
        <v>275</v>
      </c>
      <c r="G255" s="16">
        <v>106</v>
      </c>
      <c r="H255" s="16">
        <v>137</v>
      </c>
      <c r="I255" s="16">
        <v>243</v>
      </c>
      <c r="J255" s="19">
        <v>7.6000000000000001E-6</v>
      </c>
      <c r="K255" s="6">
        <f t="shared" si="3"/>
        <v>0</v>
      </c>
    </row>
    <row r="256" spans="1:11" ht="236" customHeight="1" x14ac:dyDescent="0.15">
      <c r="A256" s="13">
        <v>2441</v>
      </c>
      <c r="B256" s="14" t="s">
        <v>756</v>
      </c>
      <c r="C256" s="15" t="s">
        <v>757</v>
      </c>
      <c r="D256" s="15" t="s">
        <v>758</v>
      </c>
      <c r="E256" s="16">
        <v>5</v>
      </c>
      <c r="F256" s="16">
        <v>5</v>
      </c>
      <c r="G256" s="16">
        <v>80</v>
      </c>
      <c r="H256" s="16">
        <v>103</v>
      </c>
      <c r="I256" s="16">
        <v>183</v>
      </c>
      <c r="J256" s="17">
        <v>5.7200000000000003E-6</v>
      </c>
      <c r="K256" s="6">
        <f t="shared" si="3"/>
        <v>1</v>
      </c>
    </row>
    <row r="257" spans="1:11" ht="272" customHeight="1" x14ac:dyDescent="0.15">
      <c r="A257" s="13">
        <v>4340</v>
      </c>
      <c r="B257" s="14" t="s">
        <v>759</v>
      </c>
      <c r="C257" s="15" t="s">
        <v>760</v>
      </c>
      <c r="D257" s="15" t="s">
        <v>761</v>
      </c>
      <c r="E257" s="16">
        <v>300</v>
      </c>
      <c r="F257" s="16">
        <v>300</v>
      </c>
      <c r="G257" s="16">
        <v>88</v>
      </c>
      <c r="H257" s="16">
        <v>124</v>
      </c>
      <c r="I257" s="16">
        <v>212</v>
      </c>
      <c r="J257" s="17">
        <v>6.72E-6</v>
      </c>
      <c r="K257" s="6">
        <f t="shared" si="3"/>
        <v>1</v>
      </c>
    </row>
    <row r="258" spans="1:11" ht="284" customHeight="1" x14ac:dyDescent="0.15">
      <c r="A258" s="13">
        <v>5812</v>
      </c>
      <c r="B258" s="14" t="s">
        <v>762</v>
      </c>
      <c r="C258" s="15" t="s">
        <v>763</v>
      </c>
      <c r="D258" s="15" t="s">
        <v>764</v>
      </c>
      <c r="E258" s="16">
        <v>4</v>
      </c>
      <c r="F258" s="16">
        <v>4</v>
      </c>
      <c r="G258" s="16">
        <v>76</v>
      </c>
      <c r="H258" s="16">
        <v>129</v>
      </c>
      <c r="I258" s="16">
        <v>205</v>
      </c>
      <c r="J258" s="17">
        <v>6.6800000000000004E-6</v>
      </c>
      <c r="K258" s="6">
        <f t="shared" si="3"/>
        <v>1</v>
      </c>
    </row>
    <row r="259" spans="1:11" ht="409.5" customHeight="1" x14ac:dyDescent="0.15">
      <c r="A259" s="13">
        <v>4836</v>
      </c>
      <c r="B259" s="14" t="s">
        <v>765</v>
      </c>
      <c r="C259" s="15" t="s">
        <v>766</v>
      </c>
      <c r="D259" s="15" t="s">
        <v>767</v>
      </c>
      <c r="E259" s="16">
        <v>3600</v>
      </c>
      <c r="F259" s="16">
        <v>3600</v>
      </c>
      <c r="G259" s="16">
        <v>104</v>
      </c>
      <c r="H259" s="16">
        <v>212</v>
      </c>
      <c r="I259" s="16">
        <v>316</v>
      </c>
      <c r="J259" s="18">
        <v>1.0560000000000001E-5</v>
      </c>
      <c r="K259" s="6">
        <f t="shared" si="3"/>
        <v>1</v>
      </c>
    </row>
    <row r="260" spans="1:11" ht="272" customHeight="1" x14ac:dyDescent="0.15">
      <c r="A260" s="13">
        <v>5874</v>
      </c>
      <c r="B260" s="14" t="s">
        <v>768</v>
      </c>
      <c r="C260" s="15" t="s">
        <v>769</v>
      </c>
      <c r="D260" s="21" t="s">
        <v>1497</v>
      </c>
      <c r="E260" s="16">
        <v>50</v>
      </c>
      <c r="F260" s="16">
        <v>48</v>
      </c>
      <c r="G260" s="16">
        <v>85</v>
      </c>
      <c r="H260" s="16">
        <v>148</v>
      </c>
      <c r="I260" s="16">
        <v>233</v>
      </c>
      <c r="J260" s="17">
        <v>7.6199999999999999E-6</v>
      </c>
      <c r="K260" s="6">
        <f t="shared" si="3"/>
        <v>0</v>
      </c>
    </row>
    <row r="261" spans="1:11" ht="296" customHeight="1" x14ac:dyDescent="0.15">
      <c r="A261" s="13">
        <v>5509</v>
      </c>
      <c r="B261" s="14" t="s">
        <v>770</v>
      </c>
      <c r="C261" s="15" t="s">
        <v>771</v>
      </c>
      <c r="D261" s="15" t="s">
        <v>772</v>
      </c>
      <c r="E261" s="16">
        <v>36</v>
      </c>
      <c r="F261" s="16">
        <v>36</v>
      </c>
      <c r="G261" s="16">
        <v>82</v>
      </c>
      <c r="H261" s="16">
        <v>121</v>
      </c>
      <c r="I261" s="16">
        <v>203</v>
      </c>
      <c r="J261" s="17">
        <v>6.4799999999999998E-6</v>
      </c>
      <c r="K261" s="6">
        <f t="shared" si="3"/>
        <v>1</v>
      </c>
    </row>
    <row r="262" spans="1:11" ht="368" customHeight="1" x14ac:dyDescent="0.15">
      <c r="A262" s="13">
        <v>4411</v>
      </c>
      <c r="B262" s="14" t="s">
        <v>773</v>
      </c>
      <c r="C262" s="15" t="s">
        <v>774</v>
      </c>
      <c r="D262" s="15" t="s">
        <v>775</v>
      </c>
      <c r="E262" s="16">
        <v>40</v>
      </c>
      <c r="F262" s="16">
        <v>40</v>
      </c>
      <c r="G262" s="16">
        <v>78</v>
      </c>
      <c r="H262" s="16">
        <v>161</v>
      </c>
      <c r="I262" s="16">
        <v>239</v>
      </c>
      <c r="J262" s="22">
        <v>7.9999999999999996E-6</v>
      </c>
      <c r="K262" s="6">
        <f t="shared" ref="K262:K325" si="4">IF(OR(ISBLANK(E262), ISBLANK(F262)), 0, IF(E262=F262, 1, 0))</f>
        <v>1</v>
      </c>
    </row>
    <row r="263" spans="1:11" ht="392" customHeight="1" x14ac:dyDescent="0.15">
      <c r="A263" s="13">
        <v>1922</v>
      </c>
      <c r="B263" s="14" t="s">
        <v>776</v>
      </c>
      <c r="C263" s="15" t="s">
        <v>777</v>
      </c>
      <c r="D263" s="15" t="s">
        <v>778</v>
      </c>
      <c r="E263" s="16">
        <v>24</v>
      </c>
      <c r="F263" s="16">
        <v>24</v>
      </c>
      <c r="G263" s="16">
        <v>100</v>
      </c>
      <c r="H263" s="16">
        <v>169</v>
      </c>
      <c r="I263" s="16">
        <v>269</v>
      </c>
      <c r="J263" s="17">
        <v>8.7600000000000008E-6</v>
      </c>
      <c r="K263" s="6">
        <f t="shared" si="4"/>
        <v>1</v>
      </c>
    </row>
    <row r="264" spans="1:11" ht="227.5" customHeight="1" x14ac:dyDescent="0.15">
      <c r="A264" s="13">
        <v>6375</v>
      </c>
      <c r="B264" s="14" t="s">
        <v>779</v>
      </c>
      <c r="C264" s="15" t="s">
        <v>780</v>
      </c>
      <c r="D264" s="15" t="s">
        <v>781</v>
      </c>
      <c r="E264" s="23"/>
      <c r="F264" s="16">
        <v>14</v>
      </c>
      <c r="G264" s="16">
        <v>105</v>
      </c>
      <c r="H264" s="16">
        <v>16384</v>
      </c>
      <c r="I264" s="16">
        <v>16489</v>
      </c>
      <c r="J264" s="16">
        <v>6.5746000000000001E-4</v>
      </c>
      <c r="K264" s="6">
        <f t="shared" si="4"/>
        <v>0</v>
      </c>
    </row>
    <row r="265" spans="1:11" ht="320" customHeight="1" x14ac:dyDescent="0.15">
      <c r="A265" s="13">
        <v>4128</v>
      </c>
      <c r="B265" s="14" t="s">
        <v>782</v>
      </c>
      <c r="C265" s="15" t="s">
        <v>783</v>
      </c>
      <c r="D265" s="15" t="s">
        <v>784</v>
      </c>
      <c r="E265" s="16">
        <v>4</v>
      </c>
      <c r="F265" s="16">
        <v>7</v>
      </c>
      <c r="G265" s="16">
        <v>145</v>
      </c>
      <c r="H265" s="16">
        <v>155</v>
      </c>
      <c r="I265" s="16">
        <v>300</v>
      </c>
      <c r="J265" s="19">
        <v>9.0999999999999993E-6</v>
      </c>
      <c r="K265" s="6">
        <f t="shared" si="4"/>
        <v>0</v>
      </c>
    </row>
    <row r="266" spans="1:11" ht="409.5" customHeight="1" x14ac:dyDescent="0.15">
      <c r="A266" s="13">
        <v>6951</v>
      </c>
      <c r="B266" s="14" t="s">
        <v>785</v>
      </c>
      <c r="C266" s="15" t="s">
        <v>786</v>
      </c>
      <c r="D266" s="15" t="s">
        <v>787</v>
      </c>
      <c r="E266" s="16">
        <v>55000</v>
      </c>
      <c r="F266" s="16">
        <v>55000</v>
      </c>
      <c r="G266" s="16">
        <v>142</v>
      </c>
      <c r="H266" s="16">
        <v>267</v>
      </c>
      <c r="I266" s="16">
        <v>409</v>
      </c>
      <c r="J266" s="18">
        <v>1.3519999999999999E-5</v>
      </c>
      <c r="K266" s="6">
        <f t="shared" si="4"/>
        <v>1</v>
      </c>
    </row>
    <row r="267" spans="1:11" ht="332" customHeight="1" x14ac:dyDescent="0.15">
      <c r="A267" s="13">
        <v>5465</v>
      </c>
      <c r="B267" s="14" t="s">
        <v>788</v>
      </c>
      <c r="C267" s="15" t="s">
        <v>789</v>
      </c>
      <c r="D267" s="15" t="s">
        <v>790</v>
      </c>
      <c r="E267" s="16">
        <v>680</v>
      </c>
      <c r="F267" s="16">
        <v>680</v>
      </c>
      <c r="G267" s="16">
        <v>85</v>
      </c>
      <c r="H267" s="16">
        <v>119</v>
      </c>
      <c r="I267" s="16">
        <v>204</v>
      </c>
      <c r="J267" s="17">
        <v>6.46E-6</v>
      </c>
      <c r="K267" s="6">
        <f t="shared" si="4"/>
        <v>1</v>
      </c>
    </row>
    <row r="268" spans="1:11" ht="236" customHeight="1" x14ac:dyDescent="0.15">
      <c r="A268" s="13">
        <v>3149</v>
      </c>
      <c r="B268" s="14" t="s">
        <v>791</v>
      </c>
      <c r="C268" s="15" t="s">
        <v>792</v>
      </c>
      <c r="D268" s="15" t="s">
        <v>793</v>
      </c>
      <c r="E268" s="16">
        <v>10</v>
      </c>
      <c r="F268" s="16">
        <v>10</v>
      </c>
      <c r="G268" s="16">
        <v>76</v>
      </c>
      <c r="H268" s="16">
        <v>128</v>
      </c>
      <c r="I268" s="16">
        <v>204</v>
      </c>
      <c r="J268" s="17">
        <v>6.64E-6</v>
      </c>
      <c r="K268" s="6">
        <f t="shared" si="4"/>
        <v>1</v>
      </c>
    </row>
    <row r="269" spans="1:11" ht="224" customHeight="1" x14ac:dyDescent="0.15">
      <c r="A269" s="13">
        <v>5624</v>
      </c>
      <c r="B269" s="14" t="s">
        <v>794</v>
      </c>
      <c r="C269" s="15" t="s">
        <v>795</v>
      </c>
      <c r="D269" s="15" t="s">
        <v>796</v>
      </c>
      <c r="E269" s="16">
        <v>23</v>
      </c>
      <c r="F269" s="16">
        <v>23</v>
      </c>
      <c r="G269" s="16">
        <v>87</v>
      </c>
      <c r="H269" s="16">
        <v>108</v>
      </c>
      <c r="I269" s="16">
        <v>195</v>
      </c>
      <c r="J269" s="17">
        <v>6.0599999999999996E-6</v>
      </c>
      <c r="K269" s="6">
        <f t="shared" si="4"/>
        <v>1</v>
      </c>
    </row>
    <row r="270" spans="1:11" ht="409.5" customHeight="1" x14ac:dyDescent="0.15">
      <c r="A270" s="13">
        <v>858</v>
      </c>
      <c r="B270" s="14" t="s">
        <v>797</v>
      </c>
      <c r="C270" s="15" t="s">
        <v>798</v>
      </c>
      <c r="D270" s="15" t="s">
        <v>799</v>
      </c>
      <c r="E270" s="16">
        <v>12</v>
      </c>
      <c r="F270" s="16">
        <v>7</v>
      </c>
      <c r="G270" s="16">
        <v>127</v>
      </c>
      <c r="H270" s="16">
        <v>206</v>
      </c>
      <c r="I270" s="16">
        <v>333</v>
      </c>
      <c r="J270" s="18">
        <v>1.078E-5</v>
      </c>
      <c r="K270" s="6">
        <f t="shared" si="4"/>
        <v>0</v>
      </c>
    </row>
    <row r="271" spans="1:11" ht="320" customHeight="1" x14ac:dyDescent="0.15">
      <c r="A271" s="13">
        <v>6096</v>
      </c>
      <c r="B271" s="14" t="s">
        <v>800</v>
      </c>
      <c r="C271" s="15" t="s">
        <v>801</v>
      </c>
      <c r="D271" s="15" t="s">
        <v>802</v>
      </c>
      <c r="E271" s="16">
        <v>12</v>
      </c>
      <c r="F271" s="16">
        <v>12</v>
      </c>
      <c r="G271" s="16">
        <v>83</v>
      </c>
      <c r="H271" s="16">
        <v>153</v>
      </c>
      <c r="I271" s="16">
        <v>236</v>
      </c>
      <c r="J271" s="17">
        <v>7.7800000000000001E-6</v>
      </c>
      <c r="K271" s="6">
        <f t="shared" si="4"/>
        <v>1</v>
      </c>
    </row>
    <row r="272" spans="1:11" ht="380" customHeight="1" x14ac:dyDescent="0.15">
      <c r="A272" s="13">
        <v>7368</v>
      </c>
      <c r="B272" s="14" t="s">
        <v>803</v>
      </c>
      <c r="C272" s="15" t="s">
        <v>804</v>
      </c>
      <c r="D272" s="15" t="s">
        <v>805</v>
      </c>
      <c r="E272" s="16">
        <v>48</v>
      </c>
      <c r="F272" s="16">
        <v>48</v>
      </c>
      <c r="G272" s="16">
        <v>62</v>
      </c>
      <c r="H272" s="16">
        <v>152</v>
      </c>
      <c r="I272" s="16">
        <v>214</v>
      </c>
      <c r="J272" s="17">
        <v>7.3200000000000002E-6</v>
      </c>
      <c r="K272" s="6">
        <f t="shared" si="4"/>
        <v>1</v>
      </c>
    </row>
    <row r="273" spans="1:11" ht="409.5" customHeight="1" x14ac:dyDescent="0.15">
      <c r="A273" s="13">
        <v>6156</v>
      </c>
      <c r="B273" s="14" t="s">
        <v>806</v>
      </c>
      <c r="C273" s="15" t="s">
        <v>807</v>
      </c>
      <c r="D273" s="15" t="s">
        <v>808</v>
      </c>
      <c r="E273" s="16">
        <v>85</v>
      </c>
      <c r="F273" s="16">
        <v>85</v>
      </c>
      <c r="G273" s="16">
        <v>78</v>
      </c>
      <c r="H273" s="16">
        <v>264</v>
      </c>
      <c r="I273" s="16">
        <v>342</v>
      </c>
      <c r="J273" s="18">
        <v>1.2119999999999999E-5</v>
      </c>
      <c r="K273" s="6">
        <f t="shared" si="4"/>
        <v>1</v>
      </c>
    </row>
    <row r="274" spans="1:11" ht="248" customHeight="1" x14ac:dyDescent="0.15">
      <c r="A274" s="13">
        <v>6867</v>
      </c>
      <c r="B274" s="14" t="s">
        <v>809</v>
      </c>
      <c r="C274" s="15" t="s">
        <v>810</v>
      </c>
      <c r="D274" s="21" t="s">
        <v>811</v>
      </c>
      <c r="E274" s="16">
        <v>71</v>
      </c>
      <c r="F274" s="16">
        <v>71</v>
      </c>
      <c r="G274" s="16">
        <v>94</v>
      </c>
      <c r="H274" s="16">
        <v>125</v>
      </c>
      <c r="I274" s="16">
        <v>219</v>
      </c>
      <c r="J274" s="17">
        <v>6.8800000000000002E-6</v>
      </c>
      <c r="K274" s="6">
        <f t="shared" si="4"/>
        <v>1</v>
      </c>
    </row>
    <row r="275" spans="1:11" ht="380" customHeight="1" x14ac:dyDescent="0.15">
      <c r="A275" s="13">
        <v>2227</v>
      </c>
      <c r="B275" s="14" t="s">
        <v>812</v>
      </c>
      <c r="C275" s="15" t="s">
        <v>813</v>
      </c>
      <c r="D275" s="15" t="s">
        <v>814</v>
      </c>
      <c r="E275" s="16">
        <v>19</v>
      </c>
      <c r="F275" s="16">
        <v>19</v>
      </c>
      <c r="G275" s="16">
        <v>111</v>
      </c>
      <c r="H275" s="16">
        <v>173</v>
      </c>
      <c r="I275" s="16">
        <v>284</v>
      </c>
      <c r="J275" s="18">
        <v>1.9389999999999999E-5</v>
      </c>
      <c r="K275" s="6">
        <f t="shared" si="4"/>
        <v>1</v>
      </c>
    </row>
    <row r="276" spans="1:11" ht="236" customHeight="1" x14ac:dyDescent="0.15">
      <c r="A276" s="13">
        <v>41</v>
      </c>
      <c r="B276" s="14" t="s">
        <v>815</v>
      </c>
      <c r="C276" s="15" t="s">
        <v>816</v>
      </c>
      <c r="D276" s="15" t="s">
        <v>817</v>
      </c>
      <c r="E276" s="16">
        <v>500</v>
      </c>
      <c r="F276" s="16">
        <v>500</v>
      </c>
      <c r="G276" s="16">
        <v>110</v>
      </c>
      <c r="H276" s="16">
        <v>94</v>
      </c>
      <c r="I276" s="16">
        <v>204</v>
      </c>
      <c r="J276" s="17">
        <v>5.9599999999999997E-6</v>
      </c>
      <c r="K276" s="6">
        <f t="shared" si="4"/>
        <v>1</v>
      </c>
    </row>
    <row r="277" spans="1:11" ht="409.5" customHeight="1" x14ac:dyDescent="0.15">
      <c r="A277" s="13">
        <v>2178</v>
      </c>
      <c r="B277" s="14" t="s">
        <v>818</v>
      </c>
      <c r="C277" s="15" t="s">
        <v>819</v>
      </c>
      <c r="D277" s="15" t="s">
        <v>820</v>
      </c>
      <c r="E277" s="16">
        <v>60</v>
      </c>
      <c r="F277" s="16">
        <v>60</v>
      </c>
      <c r="G277" s="16">
        <v>106</v>
      </c>
      <c r="H277" s="16">
        <v>234</v>
      </c>
      <c r="I277" s="16">
        <v>340</v>
      </c>
      <c r="J277" s="18">
        <v>1.148E-5</v>
      </c>
      <c r="K277" s="6">
        <f t="shared" si="4"/>
        <v>1</v>
      </c>
    </row>
    <row r="278" spans="1:11" ht="200" customHeight="1" x14ac:dyDescent="0.15">
      <c r="A278" s="13">
        <v>1741</v>
      </c>
      <c r="B278" s="14" t="s">
        <v>821</v>
      </c>
      <c r="C278" s="15" t="s">
        <v>822</v>
      </c>
      <c r="D278" s="21" t="s">
        <v>823</v>
      </c>
      <c r="E278" s="16">
        <v>1350</v>
      </c>
      <c r="F278" s="16">
        <v>1350</v>
      </c>
      <c r="G278" s="16">
        <v>85</v>
      </c>
      <c r="H278" s="16">
        <v>93</v>
      </c>
      <c r="I278" s="16">
        <v>178</v>
      </c>
      <c r="J278" s="17">
        <v>5.4199999999999998E-6</v>
      </c>
      <c r="K278" s="6">
        <f t="shared" si="4"/>
        <v>1</v>
      </c>
    </row>
    <row r="279" spans="1:11" ht="296" customHeight="1" x14ac:dyDescent="0.15">
      <c r="A279" s="13">
        <v>4989</v>
      </c>
      <c r="B279" s="14" t="s">
        <v>824</v>
      </c>
      <c r="C279" s="15" t="s">
        <v>825</v>
      </c>
      <c r="D279" s="15" t="s">
        <v>826</v>
      </c>
      <c r="E279" s="16">
        <v>15</v>
      </c>
      <c r="F279" s="16">
        <v>15</v>
      </c>
      <c r="G279" s="16">
        <v>90</v>
      </c>
      <c r="H279" s="16">
        <v>134</v>
      </c>
      <c r="I279" s="16">
        <v>224</v>
      </c>
      <c r="J279" s="17">
        <v>7.1600000000000001E-6</v>
      </c>
      <c r="K279" s="6">
        <f t="shared" si="4"/>
        <v>1</v>
      </c>
    </row>
    <row r="280" spans="1:11" ht="368" customHeight="1" x14ac:dyDescent="0.15">
      <c r="A280" s="13">
        <v>1618</v>
      </c>
      <c r="B280" s="14" t="s">
        <v>827</v>
      </c>
      <c r="C280" s="15" t="s">
        <v>828</v>
      </c>
      <c r="D280" s="15" t="s">
        <v>829</v>
      </c>
      <c r="E280" s="16">
        <v>60</v>
      </c>
      <c r="F280" s="16">
        <v>60</v>
      </c>
      <c r="G280" s="16">
        <v>148</v>
      </c>
      <c r="H280" s="16">
        <v>188</v>
      </c>
      <c r="I280" s="16">
        <v>336</v>
      </c>
      <c r="J280" s="18">
        <v>1.048E-5</v>
      </c>
      <c r="K280" s="6">
        <f t="shared" si="4"/>
        <v>1</v>
      </c>
    </row>
    <row r="281" spans="1:11" ht="409.5" customHeight="1" x14ac:dyDescent="0.15">
      <c r="A281" s="13">
        <v>2405</v>
      </c>
      <c r="B281" s="14" t="s">
        <v>830</v>
      </c>
      <c r="C281" s="15" t="s">
        <v>831</v>
      </c>
      <c r="D281" s="15" t="s">
        <v>832</v>
      </c>
      <c r="E281" s="16">
        <v>21</v>
      </c>
      <c r="F281" s="16">
        <v>19</v>
      </c>
      <c r="G281" s="16">
        <v>76</v>
      </c>
      <c r="H281" s="16">
        <v>337</v>
      </c>
      <c r="I281" s="16">
        <v>413</v>
      </c>
      <c r="J281" s="19">
        <v>1.5E-5</v>
      </c>
      <c r="K281" s="6">
        <f t="shared" si="4"/>
        <v>0</v>
      </c>
    </row>
    <row r="282" spans="1:11" ht="248" customHeight="1" x14ac:dyDescent="0.15">
      <c r="A282" s="13">
        <v>185</v>
      </c>
      <c r="B282" s="14" t="s">
        <v>833</v>
      </c>
      <c r="C282" s="15" t="s">
        <v>834</v>
      </c>
      <c r="D282" s="15" t="s">
        <v>835</v>
      </c>
      <c r="E282" s="16">
        <v>4</v>
      </c>
      <c r="F282" s="16">
        <v>4</v>
      </c>
      <c r="G282" s="16">
        <v>86</v>
      </c>
      <c r="H282" s="16">
        <v>120</v>
      </c>
      <c r="I282" s="16">
        <v>206</v>
      </c>
      <c r="J282" s="17">
        <v>6.5200000000000003E-6</v>
      </c>
      <c r="K282" s="6">
        <f t="shared" si="4"/>
        <v>1</v>
      </c>
    </row>
    <row r="283" spans="1:11" ht="409.5" customHeight="1" x14ac:dyDescent="0.15">
      <c r="A283" s="13">
        <v>7120</v>
      </c>
      <c r="B283" s="14" t="s">
        <v>836</v>
      </c>
      <c r="C283" s="15" t="s">
        <v>837</v>
      </c>
      <c r="D283" s="15" t="s">
        <v>838</v>
      </c>
      <c r="E283" s="16">
        <v>2426</v>
      </c>
      <c r="F283" s="16">
        <v>2400</v>
      </c>
      <c r="G283" s="16">
        <v>102</v>
      </c>
      <c r="H283" s="16">
        <v>290</v>
      </c>
      <c r="I283" s="16">
        <v>392</v>
      </c>
      <c r="J283" s="18">
        <v>1.364E-5</v>
      </c>
      <c r="K283" s="6">
        <f t="shared" si="4"/>
        <v>0</v>
      </c>
    </row>
    <row r="284" spans="1:11" ht="248" customHeight="1" x14ac:dyDescent="0.15">
      <c r="A284" s="13">
        <v>5828</v>
      </c>
      <c r="B284" s="14" t="s">
        <v>839</v>
      </c>
      <c r="C284" s="15" t="s">
        <v>840</v>
      </c>
      <c r="D284" s="15" t="s">
        <v>841</v>
      </c>
      <c r="E284" s="16">
        <v>94</v>
      </c>
      <c r="F284" s="16">
        <v>94</v>
      </c>
      <c r="G284" s="16">
        <v>141</v>
      </c>
      <c r="H284" s="16">
        <v>105</v>
      </c>
      <c r="I284" s="16">
        <v>246</v>
      </c>
      <c r="J284" s="17">
        <v>7.0199999999999997E-6</v>
      </c>
      <c r="K284" s="6">
        <f t="shared" si="4"/>
        <v>1</v>
      </c>
    </row>
    <row r="285" spans="1:11" ht="296" customHeight="1" x14ac:dyDescent="0.15">
      <c r="A285" s="13">
        <v>3661</v>
      </c>
      <c r="B285" s="14" t="s">
        <v>842</v>
      </c>
      <c r="C285" s="15" t="s">
        <v>843</v>
      </c>
      <c r="D285" s="15" t="s">
        <v>844</v>
      </c>
      <c r="E285" s="16">
        <v>53</v>
      </c>
      <c r="F285" s="16">
        <v>53</v>
      </c>
      <c r="G285" s="16">
        <v>116</v>
      </c>
      <c r="H285" s="16">
        <v>149</v>
      </c>
      <c r="I285" s="16">
        <v>265</v>
      </c>
      <c r="J285" s="17">
        <v>8.2800000000000003E-6</v>
      </c>
      <c r="K285" s="6">
        <f t="shared" si="4"/>
        <v>1</v>
      </c>
    </row>
    <row r="286" spans="1:11" ht="248" customHeight="1" x14ac:dyDescent="0.15">
      <c r="A286" s="13">
        <v>965</v>
      </c>
      <c r="B286" s="14" t="s">
        <v>845</v>
      </c>
      <c r="C286" s="15" t="s">
        <v>846</v>
      </c>
      <c r="D286" s="15" t="s">
        <v>847</v>
      </c>
      <c r="E286" s="16">
        <v>21</v>
      </c>
      <c r="F286" s="16">
        <v>21</v>
      </c>
      <c r="G286" s="16">
        <v>103</v>
      </c>
      <c r="H286" s="16">
        <v>105</v>
      </c>
      <c r="I286" s="16">
        <v>208</v>
      </c>
      <c r="J286" s="17">
        <v>6.2600000000000002E-6</v>
      </c>
      <c r="K286" s="6">
        <f t="shared" si="4"/>
        <v>1</v>
      </c>
    </row>
    <row r="287" spans="1:11" ht="409.5" customHeight="1" x14ac:dyDescent="0.15">
      <c r="A287" s="13">
        <v>3538</v>
      </c>
      <c r="B287" s="14" t="s">
        <v>848</v>
      </c>
      <c r="C287" s="15" t="s">
        <v>849</v>
      </c>
      <c r="D287" s="15" t="s">
        <v>850</v>
      </c>
      <c r="E287" s="16">
        <v>6</v>
      </c>
      <c r="F287" s="16">
        <v>7</v>
      </c>
      <c r="G287" s="16">
        <v>126</v>
      </c>
      <c r="H287" s="16">
        <v>287</v>
      </c>
      <c r="I287" s="16">
        <v>413</v>
      </c>
      <c r="J287" s="18">
        <v>2.9260000000000001E-5</v>
      </c>
      <c r="K287" s="6">
        <f t="shared" si="4"/>
        <v>0</v>
      </c>
    </row>
    <row r="288" spans="1:11" ht="409.5" customHeight="1" x14ac:dyDescent="0.15">
      <c r="A288" s="13">
        <v>1559</v>
      </c>
      <c r="B288" s="14" t="s">
        <v>851</v>
      </c>
      <c r="C288" s="15" t="s">
        <v>852</v>
      </c>
      <c r="D288" s="15" t="s">
        <v>853</v>
      </c>
      <c r="E288" s="16">
        <v>4</v>
      </c>
      <c r="F288" s="16">
        <v>4</v>
      </c>
      <c r="G288" s="16">
        <v>124</v>
      </c>
      <c r="H288" s="16">
        <v>233</v>
      </c>
      <c r="I288" s="16">
        <v>357</v>
      </c>
      <c r="J288" s="18">
        <v>2.4839999999999999E-5</v>
      </c>
      <c r="K288" s="6">
        <f t="shared" si="4"/>
        <v>1</v>
      </c>
    </row>
    <row r="289" spans="1:11" ht="284" customHeight="1" x14ac:dyDescent="0.15">
      <c r="A289" s="13">
        <v>87</v>
      </c>
      <c r="B289" s="14" t="s">
        <v>854</v>
      </c>
      <c r="C289" s="15" t="s">
        <v>855</v>
      </c>
      <c r="D289" s="15" t="s">
        <v>856</v>
      </c>
      <c r="E289" s="16">
        <v>600</v>
      </c>
      <c r="F289" s="16">
        <v>600</v>
      </c>
      <c r="G289" s="16">
        <v>92</v>
      </c>
      <c r="H289" s="16">
        <v>139</v>
      </c>
      <c r="I289" s="16">
        <v>231</v>
      </c>
      <c r="J289" s="19">
        <v>7.4000000000000003E-6</v>
      </c>
      <c r="K289" s="6">
        <f t="shared" si="4"/>
        <v>1</v>
      </c>
    </row>
    <row r="290" spans="1:11" ht="272" customHeight="1" x14ac:dyDescent="0.15">
      <c r="A290" s="13">
        <v>3340</v>
      </c>
      <c r="B290" s="14" t="s">
        <v>857</v>
      </c>
      <c r="C290" s="15" t="s">
        <v>858</v>
      </c>
      <c r="D290" s="15" t="s">
        <v>859</v>
      </c>
      <c r="E290" s="16">
        <v>55</v>
      </c>
      <c r="F290" s="16">
        <v>55</v>
      </c>
      <c r="G290" s="16">
        <v>94</v>
      </c>
      <c r="H290" s="16">
        <v>144</v>
      </c>
      <c r="I290" s="16">
        <v>238</v>
      </c>
      <c r="J290" s="17">
        <v>7.6399999999999997E-6</v>
      </c>
      <c r="K290" s="6">
        <f t="shared" si="4"/>
        <v>1</v>
      </c>
    </row>
    <row r="291" spans="1:11" ht="284" customHeight="1" x14ac:dyDescent="0.15">
      <c r="A291" s="13">
        <v>318</v>
      </c>
      <c r="B291" s="14" t="s">
        <v>860</v>
      </c>
      <c r="C291" s="15" t="s">
        <v>861</v>
      </c>
      <c r="D291" s="15" t="s">
        <v>862</v>
      </c>
      <c r="E291" s="16">
        <v>220</v>
      </c>
      <c r="F291" s="16">
        <v>220</v>
      </c>
      <c r="G291" s="16">
        <v>79</v>
      </c>
      <c r="H291" s="16">
        <v>134</v>
      </c>
      <c r="I291" s="16">
        <v>213</v>
      </c>
      <c r="J291" s="17">
        <v>6.9399999999999996E-6</v>
      </c>
      <c r="K291" s="6">
        <f t="shared" si="4"/>
        <v>1</v>
      </c>
    </row>
    <row r="292" spans="1:11" ht="296" customHeight="1" x14ac:dyDescent="0.15">
      <c r="A292" s="13">
        <v>4439</v>
      </c>
      <c r="B292" s="14" t="s">
        <v>863</v>
      </c>
      <c r="C292" s="15" t="s">
        <v>864</v>
      </c>
      <c r="D292" s="15" t="s">
        <v>865</v>
      </c>
      <c r="E292" s="16">
        <v>13</v>
      </c>
      <c r="F292" s="16">
        <v>13</v>
      </c>
      <c r="G292" s="16">
        <v>90</v>
      </c>
      <c r="H292" s="16">
        <v>174</v>
      </c>
      <c r="I292" s="16">
        <v>264</v>
      </c>
      <c r="J292" s="17">
        <v>8.7600000000000008E-6</v>
      </c>
      <c r="K292" s="6">
        <f t="shared" si="4"/>
        <v>1</v>
      </c>
    </row>
    <row r="293" spans="1:11" ht="212" customHeight="1" x14ac:dyDescent="0.15">
      <c r="A293" s="13">
        <v>3282</v>
      </c>
      <c r="B293" s="14" t="s">
        <v>866</v>
      </c>
      <c r="C293" s="15" t="s">
        <v>867</v>
      </c>
      <c r="D293" s="15" t="s">
        <v>868</v>
      </c>
      <c r="E293" s="16">
        <v>21</v>
      </c>
      <c r="F293" s="16">
        <v>21</v>
      </c>
      <c r="G293" s="16">
        <v>95</v>
      </c>
      <c r="H293" s="16">
        <v>101</v>
      </c>
      <c r="I293" s="16">
        <v>196</v>
      </c>
      <c r="J293" s="17">
        <v>5.9399999999999999E-6</v>
      </c>
      <c r="K293" s="6">
        <f t="shared" si="4"/>
        <v>1</v>
      </c>
    </row>
    <row r="294" spans="1:11" ht="308" customHeight="1" x14ac:dyDescent="0.15">
      <c r="A294" s="13">
        <v>4568</v>
      </c>
      <c r="B294" s="14" t="s">
        <v>869</v>
      </c>
      <c r="C294" s="15" t="s">
        <v>870</v>
      </c>
      <c r="D294" s="15" t="s">
        <v>871</v>
      </c>
      <c r="E294" s="16">
        <v>40</v>
      </c>
      <c r="F294" s="16">
        <v>40</v>
      </c>
      <c r="G294" s="16">
        <v>80</v>
      </c>
      <c r="H294" s="16">
        <v>120</v>
      </c>
      <c r="I294" s="16">
        <v>200</v>
      </c>
      <c r="J294" s="19">
        <v>6.3999999999999997E-6</v>
      </c>
      <c r="K294" s="6">
        <f t="shared" si="4"/>
        <v>1</v>
      </c>
    </row>
    <row r="295" spans="1:11" ht="320" customHeight="1" x14ac:dyDescent="0.15">
      <c r="A295" s="13">
        <v>3997</v>
      </c>
      <c r="B295" s="14" t="s">
        <v>872</v>
      </c>
      <c r="C295" s="15" t="s">
        <v>873</v>
      </c>
      <c r="D295" s="15" t="s">
        <v>874</v>
      </c>
      <c r="E295" s="16">
        <v>54</v>
      </c>
      <c r="F295" s="16">
        <v>54</v>
      </c>
      <c r="G295" s="16">
        <v>118</v>
      </c>
      <c r="H295" s="16">
        <v>154</v>
      </c>
      <c r="I295" s="16">
        <v>272</v>
      </c>
      <c r="J295" s="18">
        <v>1.8219999999999998E-5</v>
      </c>
      <c r="K295" s="6">
        <f t="shared" si="4"/>
        <v>1</v>
      </c>
    </row>
    <row r="296" spans="1:11" ht="284" customHeight="1" x14ac:dyDescent="0.15">
      <c r="A296" s="13">
        <v>2280</v>
      </c>
      <c r="B296" s="14" t="s">
        <v>875</v>
      </c>
      <c r="C296" s="15" t="s">
        <v>876</v>
      </c>
      <c r="D296" s="15" t="s">
        <v>877</v>
      </c>
      <c r="E296" s="16">
        <v>5</v>
      </c>
      <c r="F296" s="16">
        <v>5</v>
      </c>
      <c r="G296" s="16">
        <v>101</v>
      </c>
      <c r="H296" s="16">
        <v>157</v>
      </c>
      <c r="I296" s="16">
        <v>258</v>
      </c>
      <c r="J296" s="18">
        <v>1.7609999999999999E-5</v>
      </c>
      <c r="K296" s="6">
        <f t="shared" si="4"/>
        <v>1</v>
      </c>
    </row>
    <row r="297" spans="1:11" ht="409.5" customHeight="1" x14ac:dyDescent="0.15">
      <c r="A297" s="13">
        <v>6494</v>
      </c>
      <c r="B297" s="14" t="s">
        <v>878</v>
      </c>
      <c r="C297" s="15" t="s">
        <v>879</v>
      </c>
      <c r="D297" s="15" t="s">
        <v>880</v>
      </c>
      <c r="E297" s="16">
        <v>20000</v>
      </c>
      <c r="F297" s="16">
        <v>24000</v>
      </c>
      <c r="G297" s="16">
        <v>132</v>
      </c>
      <c r="H297" s="16">
        <v>228</v>
      </c>
      <c r="I297" s="16">
        <v>360</v>
      </c>
      <c r="J297" s="18">
        <v>1.1759999999999999E-5</v>
      </c>
      <c r="K297" s="6">
        <f t="shared" si="4"/>
        <v>0</v>
      </c>
    </row>
    <row r="298" spans="1:11" ht="409.5" customHeight="1" x14ac:dyDescent="0.15">
      <c r="A298" s="13">
        <v>5417</v>
      </c>
      <c r="B298" s="14" t="s">
        <v>881</v>
      </c>
      <c r="C298" s="15" t="s">
        <v>882</v>
      </c>
      <c r="D298" s="15" t="s">
        <v>883</v>
      </c>
      <c r="E298" s="16">
        <v>81</v>
      </c>
      <c r="F298" s="16">
        <v>81</v>
      </c>
      <c r="G298" s="16">
        <v>140</v>
      </c>
      <c r="H298" s="16">
        <v>217</v>
      </c>
      <c r="I298" s="16">
        <v>357</v>
      </c>
      <c r="J298" s="18">
        <v>1.148E-5</v>
      </c>
      <c r="K298" s="6">
        <f t="shared" si="4"/>
        <v>1</v>
      </c>
    </row>
    <row r="299" spans="1:11" ht="248" customHeight="1" x14ac:dyDescent="0.15">
      <c r="A299" s="13">
        <v>4467</v>
      </c>
      <c r="B299" s="14" t="s">
        <v>884</v>
      </c>
      <c r="C299" s="15" t="s">
        <v>885</v>
      </c>
      <c r="D299" s="15" t="s">
        <v>886</v>
      </c>
      <c r="E299" s="16">
        <v>7</v>
      </c>
      <c r="F299" s="16">
        <v>7</v>
      </c>
      <c r="G299" s="16">
        <v>94</v>
      </c>
      <c r="H299" s="16">
        <v>104</v>
      </c>
      <c r="I299" s="16">
        <v>198</v>
      </c>
      <c r="J299" s="17">
        <v>6.0399999999999998E-6</v>
      </c>
      <c r="K299" s="6">
        <f t="shared" si="4"/>
        <v>1</v>
      </c>
    </row>
    <row r="300" spans="1:11" ht="308" customHeight="1" x14ac:dyDescent="0.15">
      <c r="A300" s="13">
        <v>4810</v>
      </c>
      <c r="B300" s="14" t="s">
        <v>887</v>
      </c>
      <c r="C300" s="15" t="s">
        <v>888</v>
      </c>
      <c r="D300" s="15" t="s">
        <v>889</v>
      </c>
      <c r="E300" s="16">
        <v>400</v>
      </c>
      <c r="F300" s="16">
        <v>400</v>
      </c>
      <c r="G300" s="16">
        <v>79</v>
      </c>
      <c r="H300" s="16">
        <v>118</v>
      </c>
      <c r="I300" s="16">
        <v>197</v>
      </c>
      <c r="J300" s="19">
        <v>6.2999999999999998E-6</v>
      </c>
      <c r="K300" s="6">
        <f t="shared" si="4"/>
        <v>1</v>
      </c>
    </row>
    <row r="301" spans="1:11" ht="409.5" customHeight="1" x14ac:dyDescent="0.15">
      <c r="A301" s="13">
        <v>3534</v>
      </c>
      <c r="B301" s="14" t="s">
        <v>890</v>
      </c>
      <c r="C301" s="15" t="s">
        <v>891</v>
      </c>
      <c r="D301" s="15" t="s">
        <v>892</v>
      </c>
      <c r="E301" s="16">
        <v>22</v>
      </c>
      <c r="F301" s="16">
        <v>22</v>
      </c>
      <c r="G301" s="16">
        <v>91</v>
      </c>
      <c r="H301" s="16">
        <v>180</v>
      </c>
      <c r="I301" s="16">
        <v>271</v>
      </c>
      <c r="J301" s="17">
        <v>9.02E-6</v>
      </c>
      <c r="K301" s="6">
        <f t="shared" si="4"/>
        <v>1</v>
      </c>
    </row>
    <row r="302" spans="1:11" ht="332" customHeight="1" x14ac:dyDescent="0.15">
      <c r="A302" s="13">
        <v>5681</v>
      </c>
      <c r="B302" s="14" t="s">
        <v>893</v>
      </c>
      <c r="C302" s="15" t="s">
        <v>894</v>
      </c>
      <c r="D302" s="15" t="s">
        <v>895</v>
      </c>
      <c r="E302" s="16">
        <v>18</v>
      </c>
      <c r="F302" s="16">
        <v>18</v>
      </c>
      <c r="G302" s="16">
        <v>89</v>
      </c>
      <c r="H302" s="16">
        <v>135</v>
      </c>
      <c r="I302" s="16">
        <v>224</v>
      </c>
      <c r="J302" s="17">
        <v>7.1799999999999999E-6</v>
      </c>
      <c r="K302" s="6">
        <f t="shared" si="4"/>
        <v>1</v>
      </c>
    </row>
    <row r="303" spans="1:11" ht="344" customHeight="1" x14ac:dyDescent="0.15">
      <c r="A303" s="13">
        <v>3050</v>
      </c>
      <c r="B303" s="14" t="s">
        <v>896</v>
      </c>
      <c r="C303" s="15" t="s">
        <v>897</v>
      </c>
      <c r="D303" s="15" t="s">
        <v>898</v>
      </c>
      <c r="E303" s="16">
        <v>12</v>
      </c>
      <c r="F303" s="16">
        <v>12</v>
      </c>
      <c r="G303" s="16">
        <v>81</v>
      </c>
      <c r="H303" s="16">
        <v>141</v>
      </c>
      <c r="I303" s="16">
        <v>222</v>
      </c>
      <c r="J303" s="17">
        <v>7.2599999999999999E-6</v>
      </c>
      <c r="K303" s="6">
        <f t="shared" si="4"/>
        <v>1</v>
      </c>
    </row>
    <row r="304" spans="1:11" ht="409.5" customHeight="1" x14ac:dyDescent="0.15">
      <c r="A304" s="13">
        <v>2233</v>
      </c>
      <c r="B304" s="14" t="s">
        <v>899</v>
      </c>
      <c r="C304" s="15" t="s">
        <v>900</v>
      </c>
      <c r="D304" s="15" t="s">
        <v>901</v>
      </c>
      <c r="E304" s="16">
        <v>110</v>
      </c>
      <c r="F304" s="16">
        <v>110</v>
      </c>
      <c r="G304" s="16">
        <v>112</v>
      </c>
      <c r="H304" s="16">
        <v>281</v>
      </c>
      <c r="I304" s="16">
        <v>393</v>
      </c>
      <c r="J304" s="18">
        <v>2.8079999999999999E-5</v>
      </c>
      <c r="K304" s="6">
        <f t="shared" si="4"/>
        <v>1</v>
      </c>
    </row>
    <row r="305" spans="1:11" ht="409.5" customHeight="1" x14ac:dyDescent="0.15">
      <c r="A305" s="13">
        <v>4457</v>
      </c>
      <c r="B305" s="14" t="s">
        <v>902</v>
      </c>
      <c r="C305" s="15" t="s">
        <v>903</v>
      </c>
      <c r="D305" s="15" t="s">
        <v>904</v>
      </c>
      <c r="E305" s="16">
        <v>105</v>
      </c>
      <c r="F305" s="16">
        <v>105</v>
      </c>
      <c r="G305" s="16">
        <v>86</v>
      </c>
      <c r="H305" s="16">
        <v>203</v>
      </c>
      <c r="I305" s="16">
        <v>289</v>
      </c>
      <c r="J305" s="17">
        <v>9.8400000000000007E-6</v>
      </c>
      <c r="K305" s="6">
        <f t="shared" si="4"/>
        <v>1</v>
      </c>
    </row>
    <row r="306" spans="1:11" ht="380" customHeight="1" x14ac:dyDescent="0.15">
      <c r="A306" s="13">
        <v>2764</v>
      </c>
      <c r="B306" s="14" t="s">
        <v>905</v>
      </c>
      <c r="C306" s="15" t="s">
        <v>906</v>
      </c>
      <c r="D306" s="15" t="s">
        <v>907</v>
      </c>
      <c r="E306" s="16">
        <v>53</v>
      </c>
      <c r="F306" s="16">
        <v>53</v>
      </c>
      <c r="G306" s="16">
        <v>111</v>
      </c>
      <c r="H306" s="16">
        <v>175</v>
      </c>
      <c r="I306" s="16">
        <v>286</v>
      </c>
      <c r="J306" s="17">
        <v>9.2199999999999998E-6</v>
      </c>
      <c r="K306" s="6">
        <f t="shared" si="4"/>
        <v>1</v>
      </c>
    </row>
    <row r="307" spans="1:11" ht="409.5" customHeight="1" x14ac:dyDescent="0.15">
      <c r="A307" s="13">
        <v>7068</v>
      </c>
      <c r="B307" s="14" t="s">
        <v>908</v>
      </c>
      <c r="C307" s="15" t="s">
        <v>909</v>
      </c>
      <c r="D307" s="15" t="s">
        <v>910</v>
      </c>
      <c r="E307" s="16">
        <v>325</v>
      </c>
      <c r="F307" s="16">
        <v>325</v>
      </c>
      <c r="G307" s="16">
        <v>121</v>
      </c>
      <c r="H307" s="16">
        <v>254</v>
      </c>
      <c r="I307" s="16">
        <v>375</v>
      </c>
      <c r="J307" s="18">
        <v>2.637E-5</v>
      </c>
      <c r="K307" s="6">
        <f t="shared" si="4"/>
        <v>1</v>
      </c>
    </row>
    <row r="308" spans="1:11" ht="409.5" customHeight="1" x14ac:dyDescent="0.15">
      <c r="A308" s="13">
        <v>3001</v>
      </c>
      <c r="B308" s="14" t="s">
        <v>911</v>
      </c>
      <c r="C308" s="15" t="s">
        <v>912</v>
      </c>
      <c r="D308" s="15" t="s">
        <v>913</v>
      </c>
      <c r="E308" s="16">
        <v>180</v>
      </c>
      <c r="F308" s="16">
        <v>36</v>
      </c>
      <c r="G308" s="16">
        <v>140</v>
      </c>
      <c r="H308" s="16">
        <v>345</v>
      </c>
      <c r="I308" s="16">
        <v>485</v>
      </c>
      <c r="J308" s="17">
        <v>3.4600000000000001E-5</v>
      </c>
      <c r="K308" s="6">
        <f t="shared" si="4"/>
        <v>0</v>
      </c>
    </row>
    <row r="309" spans="1:11" ht="248" customHeight="1" x14ac:dyDescent="0.15">
      <c r="A309" s="13">
        <v>1374</v>
      </c>
      <c r="B309" s="14" t="s">
        <v>914</v>
      </c>
      <c r="C309" s="15" t="s">
        <v>915</v>
      </c>
      <c r="D309" s="15" t="s">
        <v>916</v>
      </c>
      <c r="E309" s="16">
        <v>54</v>
      </c>
      <c r="F309" s="16">
        <v>54</v>
      </c>
      <c r="G309" s="16">
        <v>92</v>
      </c>
      <c r="H309" s="16">
        <v>148</v>
      </c>
      <c r="I309" s="16">
        <v>240</v>
      </c>
      <c r="J309" s="17">
        <v>7.7600000000000002E-6</v>
      </c>
      <c r="K309" s="6">
        <f t="shared" si="4"/>
        <v>1</v>
      </c>
    </row>
    <row r="310" spans="1:11" ht="248" customHeight="1" x14ac:dyDescent="0.15">
      <c r="A310" s="13">
        <v>7091</v>
      </c>
      <c r="B310" s="14" t="s">
        <v>917</v>
      </c>
      <c r="C310" s="15" t="s">
        <v>918</v>
      </c>
      <c r="D310" s="15" t="s">
        <v>919</v>
      </c>
      <c r="E310" s="16">
        <v>92</v>
      </c>
      <c r="F310" s="16">
        <v>92</v>
      </c>
      <c r="G310" s="16">
        <v>101</v>
      </c>
      <c r="H310" s="16">
        <v>109</v>
      </c>
      <c r="I310" s="16">
        <v>210</v>
      </c>
      <c r="J310" s="17">
        <v>6.3799999999999999E-6</v>
      </c>
      <c r="K310" s="6">
        <f t="shared" si="4"/>
        <v>1</v>
      </c>
    </row>
    <row r="311" spans="1:11" ht="404" customHeight="1" x14ac:dyDescent="0.15">
      <c r="A311" s="13">
        <v>3605</v>
      </c>
      <c r="B311" s="14" t="s">
        <v>920</v>
      </c>
      <c r="C311" s="15" t="s">
        <v>921</v>
      </c>
      <c r="D311" s="15" t="s">
        <v>922</v>
      </c>
      <c r="E311" s="16">
        <v>6</v>
      </c>
      <c r="F311" s="16">
        <v>3</v>
      </c>
      <c r="G311" s="16">
        <v>96</v>
      </c>
      <c r="H311" s="16">
        <v>180</v>
      </c>
      <c r="I311" s="16">
        <v>276</v>
      </c>
      <c r="J311" s="17">
        <v>9.1200000000000008E-6</v>
      </c>
      <c r="K311" s="6">
        <f t="shared" si="4"/>
        <v>0</v>
      </c>
    </row>
    <row r="312" spans="1:11" ht="368" customHeight="1" x14ac:dyDescent="0.15">
      <c r="A312" s="13">
        <v>5167</v>
      </c>
      <c r="B312" s="14" t="s">
        <v>923</v>
      </c>
      <c r="C312" s="15" t="s">
        <v>924</v>
      </c>
      <c r="D312" s="15" t="s">
        <v>925</v>
      </c>
      <c r="E312" s="16">
        <v>24500</v>
      </c>
      <c r="F312" s="16">
        <v>24500</v>
      </c>
      <c r="G312" s="16">
        <v>124</v>
      </c>
      <c r="H312" s="16">
        <v>193</v>
      </c>
      <c r="I312" s="16">
        <v>317</v>
      </c>
      <c r="J312" s="18">
        <v>2.1639999999999999E-5</v>
      </c>
      <c r="K312" s="6">
        <f t="shared" si="4"/>
        <v>1</v>
      </c>
    </row>
    <row r="313" spans="1:11" ht="332" customHeight="1" x14ac:dyDescent="0.15">
      <c r="A313" s="13">
        <v>4947</v>
      </c>
      <c r="B313" s="14" t="s">
        <v>926</v>
      </c>
      <c r="C313" s="15" t="s">
        <v>927</v>
      </c>
      <c r="D313" s="15" t="s">
        <v>928</v>
      </c>
      <c r="E313" s="16">
        <v>300</v>
      </c>
      <c r="F313" s="16">
        <v>300</v>
      </c>
      <c r="G313" s="16">
        <v>96</v>
      </c>
      <c r="H313" s="16">
        <v>121</v>
      </c>
      <c r="I313" s="16">
        <v>217</v>
      </c>
      <c r="J313" s="17">
        <v>6.7599999999999997E-6</v>
      </c>
      <c r="K313" s="6">
        <f t="shared" si="4"/>
        <v>1</v>
      </c>
    </row>
    <row r="314" spans="1:11" ht="409.5" customHeight="1" x14ac:dyDescent="0.15">
      <c r="A314" s="13">
        <v>6025</v>
      </c>
      <c r="B314" s="14" t="s">
        <v>929</v>
      </c>
      <c r="C314" s="15" t="s">
        <v>930</v>
      </c>
      <c r="D314" s="15" t="s">
        <v>931</v>
      </c>
      <c r="E314" s="16">
        <v>14</v>
      </c>
      <c r="F314" s="16">
        <v>14</v>
      </c>
      <c r="G314" s="16">
        <v>122</v>
      </c>
      <c r="H314" s="16">
        <v>302</v>
      </c>
      <c r="I314" s="16">
        <v>424</v>
      </c>
      <c r="J314" s="18">
        <v>3.0260000000000002E-5</v>
      </c>
      <c r="K314" s="6">
        <f t="shared" si="4"/>
        <v>1</v>
      </c>
    </row>
    <row r="315" spans="1:11" ht="320" customHeight="1" x14ac:dyDescent="0.15">
      <c r="A315" s="13">
        <v>2338</v>
      </c>
      <c r="B315" s="14" t="s">
        <v>932</v>
      </c>
      <c r="C315" s="15" t="s">
        <v>933</v>
      </c>
      <c r="D315" s="15" t="s">
        <v>934</v>
      </c>
      <c r="E315" s="16">
        <v>25</v>
      </c>
      <c r="F315" s="16">
        <v>30</v>
      </c>
      <c r="G315" s="16">
        <v>75</v>
      </c>
      <c r="H315" s="16">
        <v>146</v>
      </c>
      <c r="I315" s="16">
        <v>221</v>
      </c>
      <c r="J315" s="17">
        <v>7.34E-6</v>
      </c>
      <c r="K315" s="6">
        <f t="shared" si="4"/>
        <v>0</v>
      </c>
    </row>
    <row r="316" spans="1:11" ht="272" customHeight="1" x14ac:dyDescent="0.15">
      <c r="A316" s="13">
        <v>1871</v>
      </c>
      <c r="B316" s="14" t="s">
        <v>935</v>
      </c>
      <c r="C316" s="15" t="s">
        <v>936</v>
      </c>
      <c r="D316" s="15" t="s">
        <v>937</v>
      </c>
      <c r="E316" s="16">
        <v>110</v>
      </c>
      <c r="F316" s="16">
        <v>110</v>
      </c>
      <c r="G316" s="16">
        <v>79</v>
      </c>
      <c r="H316" s="16">
        <v>137</v>
      </c>
      <c r="I316" s="16">
        <v>216</v>
      </c>
      <c r="J316" s="17">
        <v>7.0600000000000002E-6</v>
      </c>
      <c r="K316" s="6">
        <f t="shared" si="4"/>
        <v>1</v>
      </c>
    </row>
    <row r="317" spans="1:11" ht="380" customHeight="1" x14ac:dyDescent="0.15">
      <c r="A317" s="13">
        <v>4129</v>
      </c>
      <c r="B317" s="14" t="s">
        <v>938</v>
      </c>
      <c r="C317" s="15" t="s">
        <v>939</v>
      </c>
      <c r="D317" s="15" t="s">
        <v>940</v>
      </c>
      <c r="E317" s="16">
        <v>92</v>
      </c>
      <c r="F317" s="16">
        <v>92</v>
      </c>
      <c r="G317" s="16">
        <v>105</v>
      </c>
      <c r="H317" s="16">
        <v>161</v>
      </c>
      <c r="I317" s="16">
        <v>266</v>
      </c>
      <c r="J317" s="17">
        <v>8.5399999999999996E-6</v>
      </c>
      <c r="K317" s="6">
        <f t="shared" si="4"/>
        <v>1</v>
      </c>
    </row>
    <row r="318" spans="1:11" ht="308" customHeight="1" x14ac:dyDescent="0.15">
      <c r="A318" s="13">
        <v>763</v>
      </c>
      <c r="B318" s="14" t="s">
        <v>941</v>
      </c>
      <c r="C318" s="15" t="s">
        <v>942</v>
      </c>
      <c r="D318" s="15" t="s">
        <v>943</v>
      </c>
      <c r="E318" s="16">
        <v>6</v>
      </c>
      <c r="F318" s="16">
        <v>6</v>
      </c>
      <c r="G318" s="16">
        <v>81</v>
      </c>
      <c r="H318" s="16">
        <v>136</v>
      </c>
      <c r="I318" s="16">
        <v>217</v>
      </c>
      <c r="J318" s="17">
        <v>7.0600000000000002E-6</v>
      </c>
      <c r="K318" s="6">
        <f t="shared" si="4"/>
        <v>1</v>
      </c>
    </row>
    <row r="319" spans="1:11" ht="409.5" customHeight="1" x14ac:dyDescent="0.15">
      <c r="A319" s="13">
        <v>1665</v>
      </c>
      <c r="B319" s="14" t="s">
        <v>944</v>
      </c>
      <c r="C319" s="15" t="s">
        <v>945</v>
      </c>
      <c r="D319" s="15" t="s">
        <v>946</v>
      </c>
      <c r="E319" s="16">
        <v>32</v>
      </c>
      <c r="F319" s="16">
        <v>32</v>
      </c>
      <c r="G319" s="16">
        <v>107</v>
      </c>
      <c r="H319" s="16">
        <v>216</v>
      </c>
      <c r="I319" s="16">
        <v>323</v>
      </c>
      <c r="J319" s="18">
        <v>1.078E-5</v>
      </c>
      <c r="K319" s="6">
        <f t="shared" si="4"/>
        <v>1</v>
      </c>
    </row>
    <row r="320" spans="1:11" ht="272" customHeight="1" x14ac:dyDescent="0.15">
      <c r="A320" s="13">
        <v>1425</v>
      </c>
      <c r="B320" s="14" t="s">
        <v>947</v>
      </c>
      <c r="C320" s="15" t="s">
        <v>948</v>
      </c>
      <c r="D320" s="15" t="s">
        <v>949</v>
      </c>
      <c r="E320" s="16">
        <v>10</v>
      </c>
      <c r="F320" s="16">
        <v>10</v>
      </c>
      <c r="G320" s="16">
        <v>97</v>
      </c>
      <c r="H320" s="16">
        <v>137</v>
      </c>
      <c r="I320" s="16">
        <v>234</v>
      </c>
      <c r="J320" s="17">
        <v>7.4200000000000001E-6</v>
      </c>
      <c r="K320" s="6">
        <f t="shared" si="4"/>
        <v>1</v>
      </c>
    </row>
    <row r="321" spans="1:11" ht="236" customHeight="1" x14ac:dyDescent="0.15">
      <c r="A321" s="13">
        <v>6868</v>
      </c>
      <c r="B321" s="14" t="s">
        <v>950</v>
      </c>
      <c r="C321" s="15" t="s">
        <v>951</v>
      </c>
      <c r="D321" s="15" t="s">
        <v>952</v>
      </c>
      <c r="E321" s="16">
        <v>14</v>
      </c>
      <c r="F321" s="16">
        <v>14</v>
      </c>
      <c r="G321" s="16">
        <v>73</v>
      </c>
      <c r="H321" s="16">
        <v>121</v>
      </c>
      <c r="I321" s="16">
        <v>194</v>
      </c>
      <c r="J321" s="19">
        <v>6.2999999999999998E-6</v>
      </c>
      <c r="K321" s="6">
        <f t="shared" si="4"/>
        <v>1</v>
      </c>
    </row>
    <row r="322" spans="1:11" ht="344" customHeight="1" x14ac:dyDescent="0.15">
      <c r="A322" s="13">
        <v>4359</v>
      </c>
      <c r="B322" s="14" t="s">
        <v>953</v>
      </c>
      <c r="C322" s="15" t="s">
        <v>954</v>
      </c>
      <c r="D322" s="15" t="s">
        <v>955</v>
      </c>
      <c r="E322" s="16">
        <v>10</v>
      </c>
      <c r="F322" s="16">
        <v>10</v>
      </c>
      <c r="G322" s="16">
        <v>117</v>
      </c>
      <c r="H322" s="16">
        <v>172</v>
      </c>
      <c r="I322" s="16">
        <v>289</v>
      </c>
      <c r="J322" s="18">
        <v>1.961E-5</v>
      </c>
      <c r="K322" s="6">
        <f t="shared" si="4"/>
        <v>1</v>
      </c>
    </row>
    <row r="323" spans="1:11" ht="284" customHeight="1" x14ac:dyDescent="0.15">
      <c r="A323" s="13">
        <v>509</v>
      </c>
      <c r="B323" s="14" t="s">
        <v>956</v>
      </c>
      <c r="C323" s="15" t="s">
        <v>957</v>
      </c>
      <c r="D323" s="15" t="s">
        <v>958</v>
      </c>
      <c r="E323" s="16">
        <v>6</v>
      </c>
      <c r="F323" s="16">
        <v>6</v>
      </c>
      <c r="G323" s="16">
        <v>102</v>
      </c>
      <c r="H323" s="16">
        <v>131</v>
      </c>
      <c r="I323" s="16">
        <v>233</v>
      </c>
      <c r="J323" s="17">
        <v>7.2799999999999998E-6</v>
      </c>
      <c r="K323" s="6">
        <f t="shared" si="4"/>
        <v>1</v>
      </c>
    </row>
    <row r="324" spans="1:11" ht="308" customHeight="1" x14ac:dyDescent="0.15">
      <c r="A324" s="13">
        <v>2835</v>
      </c>
      <c r="B324" s="14" t="s">
        <v>959</v>
      </c>
      <c r="C324" s="15" t="s">
        <v>960</v>
      </c>
      <c r="D324" s="15" t="s">
        <v>961</v>
      </c>
      <c r="E324" s="16">
        <v>1400</v>
      </c>
      <c r="F324" s="16">
        <v>1400</v>
      </c>
      <c r="G324" s="16">
        <v>120</v>
      </c>
      <c r="H324" s="16">
        <v>163</v>
      </c>
      <c r="I324" s="16">
        <v>283</v>
      </c>
      <c r="J324" s="17">
        <v>8.9199999999999993E-6</v>
      </c>
      <c r="K324" s="6">
        <f t="shared" si="4"/>
        <v>1</v>
      </c>
    </row>
    <row r="325" spans="1:11" ht="224" customHeight="1" x14ac:dyDescent="0.15">
      <c r="A325" s="13">
        <v>6033</v>
      </c>
      <c r="B325" s="14" t="s">
        <v>962</v>
      </c>
      <c r="C325" s="15" t="s">
        <v>963</v>
      </c>
      <c r="D325" s="15" t="s">
        <v>964</v>
      </c>
      <c r="E325" s="16">
        <v>25</v>
      </c>
      <c r="F325" s="16">
        <v>25</v>
      </c>
      <c r="G325" s="16">
        <v>96</v>
      </c>
      <c r="H325" s="16">
        <v>105</v>
      </c>
      <c r="I325" s="16">
        <v>201</v>
      </c>
      <c r="J325" s="17">
        <v>6.1199999999999999E-6</v>
      </c>
      <c r="K325" s="6">
        <f t="shared" si="4"/>
        <v>1</v>
      </c>
    </row>
    <row r="326" spans="1:11" ht="260" customHeight="1" x14ac:dyDescent="0.15">
      <c r="A326" s="13">
        <v>5488</v>
      </c>
      <c r="B326" s="14" t="s">
        <v>965</v>
      </c>
      <c r="C326" s="15" t="s">
        <v>966</v>
      </c>
      <c r="D326" s="15" t="s">
        <v>967</v>
      </c>
      <c r="E326" s="16">
        <v>655502</v>
      </c>
      <c r="F326" s="16">
        <v>655502</v>
      </c>
      <c r="G326" s="16">
        <v>81</v>
      </c>
      <c r="H326" s="16">
        <v>115</v>
      </c>
      <c r="I326" s="16">
        <v>196</v>
      </c>
      <c r="J326" s="17">
        <v>6.2199999999999997E-6</v>
      </c>
      <c r="K326" s="6">
        <f t="shared" ref="K326:K389" si="5">IF(OR(ISBLANK(E326), ISBLANK(F326)), 0, IF(E326=F326, 1, 0))</f>
        <v>1</v>
      </c>
    </row>
    <row r="327" spans="1:11" ht="284" customHeight="1" x14ac:dyDescent="0.15">
      <c r="A327" s="13">
        <v>69</v>
      </c>
      <c r="B327" s="14" t="s">
        <v>968</v>
      </c>
      <c r="C327" s="15" t="s">
        <v>969</v>
      </c>
      <c r="D327" s="15" t="s">
        <v>970</v>
      </c>
      <c r="E327" s="16">
        <v>49</v>
      </c>
      <c r="F327" s="16">
        <v>49</v>
      </c>
      <c r="G327" s="16">
        <v>77</v>
      </c>
      <c r="H327" s="16">
        <v>126</v>
      </c>
      <c r="I327" s="16">
        <v>203</v>
      </c>
      <c r="J327" s="17">
        <v>6.5799999999999997E-6</v>
      </c>
      <c r="K327" s="6">
        <f t="shared" si="5"/>
        <v>1</v>
      </c>
    </row>
    <row r="328" spans="1:11" ht="332" customHeight="1" x14ac:dyDescent="0.15">
      <c r="A328" s="13">
        <v>6492</v>
      </c>
      <c r="B328" s="14" t="s">
        <v>971</v>
      </c>
      <c r="C328" s="15" t="s">
        <v>972</v>
      </c>
      <c r="D328" s="15" t="s">
        <v>973</v>
      </c>
      <c r="E328" s="16">
        <v>100</v>
      </c>
      <c r="F328" s="16">
        <v>100</v>
      </c>
      <c r="G328" s="16">
        <v>70</v>
      </c>
      <c r="H328" s="16">
        <v>155</v>
      </c>
      <c r="I328" s="16">
        <v>225</v>
      </c>
      <c r="J328" s="19">
        <v>7.6000000000000001E-6</v>
      </c>
      <c r="K328" s="6">
        <f t="shared" si="5"/>
        <v>1</v>
      </c>
    </row>
    <row r="329" spans="1:11" ht="356" customHeight="1" x14ac:dyDescent="0.15">
      <c r="A329" s="13">
        <v>5397</v>
      </c>
      <c r="B329" s="14" t="s">
        <v>974</v>
      </c>
      <c r="C329" s="15" t="s">
        <v>975</v>
      </c>
      <c r="D329" s="15" t="s">
        <v>976</v>
      </c>
      <c r="E329" s="16">
        <v>79</v>
      </c>
      <c r="F329" s="16">
        <v>79</v>
      </c>
      <c r="G329" s="16">
        <v>115</v>
      </c>
      <c r="H329" s="16">
        <v>177</v>
      </c>
      <c r="I329" s="16">
        <v>292</v>
      </c>
      <c r="J329" s="17">
        <v>9.38E-6</v>
      </c>
      <c r="K329" s="6">
        <f t="shared" si="5"/>
        <v>1</v>
      </c>
    </row>
    <row r="330" spans="1:11" ht="332" customHeight="1" x14ac:dyDescent="0.15">
      <c r="A330" s="13">
        <v>7286</v>
      </c>
      <c r="B330" s="14" t="s">
        <v>977</v>
      </c>
      <c r="C330" s="15" t="s">
        <v>978</v>
      </c>
      <c r="D330" s="15" t="s">
        <v>979</v>
      </c>
      <c r="E330" s="16">
        <v>50</v>
      </c>
      <c r="F330" s="16">
        <v>50</v>
      </c>
      <c r="G330" s="16">
        <v>105</v>
      </c>
      <c r="H330" s="16">
        <v>149</v>
      </c>
      <c r="I330" s="16">
        <v>254</v>
      </c>
      <c r="J330" s="20">
        <v>5.8723E-5</v>
      </c>
      <c r="K330" s="6">
        <f t="shared" si="5"/>
        <v>1</v>
      </c>
    </row>
    <row r="331" spans="1:11" ht="218.25" customHeight="1" x14ac:dyDescent="0.15">
      <c r="A331" s="13">
        <v>2576</v>
      </c>
      <c r="B331" s="14" t="s">
        <v>980</v>
      </c>
      <c r="C331" s="15" t="s">
        <v>981</v>
      </c>
      <c r="D331" s="15" t="s">
        <v>982</v>
      </c>
      <c r="E331" s="23"/>
      <c r="F331" s="16">
        <v>14</v>
      </c>
      <c r="G331" s="16">
        <v>141</v>
      </c>
      <c r="H331" s="16">
        <v>16384</v>
      </c>
      <c r="I331" s="16">
        <v>16525</v>
      </c>
      <c r="J331" s="16">
        <v>6.5817999999999996E-4</v>
      </c>
      <c r="K331" s="6">
        <f t="shared" si="5"/>
        <v>0</v>
      </c>
    </row>
    <row r="332" spans="1:11" ht="296" customHeight="1" x14ac:dyDescent="0.15">
      <c r="A332" s="13">
        <v>332</v>
      </c>
      <c r="B332" s="14" t="s">
        <v>983</v>
      </c>
      <c r="C332" s="15" t="s">
        <v>984</v>
      </c>
      <c r="D332" s="15" t="s">
        <v>985</v>
      </c>
      <c r="E332" s="16">
        <v>49200</v>
      </c>
      <c r="F332" s="16">
        <v>49200</v>
      </c>
      <c r="G332" s="16">
        <v>82</v>
      </c>
      <c r="H332" s="16">
        <v>127</v>
      </c>
      <c r="I332" s="16">
        <v>209</v>
      </c>
      <c r="J332" s="17">
        <v>6.72E-6</v>
      </c>
      <c r="K332" s="6">
        <f t="shared" si="5"/>
        <v>1</v>
      </c>
    </row>
    <row r="333" spans="1:11" ht="344" customHeight="1" x14ac:dyDescent="0.15">
      <c r="A333" s="13">
        <v>7025</v>
      </c>
      <c r="B333" s="14" t="s">
        <v>986</v>
      </c>
      <c r="C333" s="15" t="s">
        <v>987</v>
      </c>
      <c r="D333" s="15" t="s">
        <v>988</v>
      </c>
      <c r="E333" s="16">
        <v>525</v>
      </c>
      <c r="F333" s="16">
        <v>525</v>
      </c>
      <c r="G333" s="16">
        <v>127</v>
      </c>
      <c r="H333" s="16">
        <v>160</v>
      </c>
      <c r="I333" s="16">
        <v>287</v>
      </c>
      <c r="J333" s="17">
        <v>8.9400000000000008E-6</v>
      </c>
      <c r="K333" s="6">
        <f t="shared" si="5"/>
        <v>1</v>
      </c>
    </row>
    <row r="334" spans="1:11" ht="409.5" customHeight="1" x14ac:dyDescent="0.15">
      <c r="A334" s="13">
        <v>2328</v>
      </c>
      <c r="B334" s="14" t="s">
        <v>989</v>
      </c>
      <c r="C334" s="15" t="s">
        <v>990</v>
      </c>
      <c r="D334" s="15" t="s">
        <v>991</v>
      </c>
      <c r="E334" s="16">
        <v>204</v>
      </c>
      <c r="F334" s="16">
        <v>204</v>
      </c>
      <c r="G334" s="16">
        <v>92</v>
      </c>
      <c r="H334" s="16">
        <v>179</v>
      </c>
      <c r="I334" s="16">
        <v>271</v>
      </c>
      <c r="J334" s="18">
        <v>1.8919999999999998E-5</v>
      </c>
      <c r="K334" s="6">
        <f t="shared" si="5"/>
        <v>1</v>
      </c>
    </row>
    <row r="335" spans="1:11" ht="248" customHeight="1" x14ac:dyDescent="0.15">
      <c r="A335" s="13">
        <v>3978</v>
      </c>
      <c r="B335" s="14" t="s">
        <v>992</v>
      </c>
      <c r="C335" s="15" t="s">
        <v>993</v>
      </c>
      <c r="D335" s="15" t="s">
        <v>994</v>
      </c>
      <c r="E335" s="16">
        <v>7</v>
      </c>
      <c r="F335" s="16">
        <v>7</v>
      </c>
      <c r="G335" s="16">
        <v>76</v>
      </c>
      <c r="H335" s="16">
        <v>126</v>
      </c>
      <c r="I335" s="16">
        <v>202</v>
      </c>
      <c r="J335" s="17">
        <v>6.5599999999999999E-6</v>
      </c>
      <c r="K335" s="6">
        <f t="shared" si="5"/>
        <v>1</v>
      </c>
    </row>
    <row r="336" spans="1:11" ht="409.5" customHeight="1" x14ac:dyDescent="0.15">
      <c r="A336" s="13">
        <v>393</v>
      </c>
      <c r="B336" s="14" t="s">
        <v>995</v>
      </c>
      <c r="C336" s="15" t="s">
        <v>996</v>
      </c>
      <c r="D336" s="15" t="s">
        <v>997</v>
      </c>
      <c r="E336" s="16">
        <v>5</v>
      </c>
      <c r="F336" s="16">
        <v>5</v>
      </c>
      <c r="G336" s="16">
        <v>98</v>
      </c>
      <c r="H336" s="16">
        <v>170</v>
      </c>
      <c r="I336" s="16">
        <v>268</v>
      </c>
      <c r="J336" s="17">
        <v>1.8499999999999999E-5</v>
      </c>
      <c r="K336" s="6">
        <f t="shared" si="5"/>
        <v>1</v>
      </c>
    </row>
    <row r="337" spans="1:11" ht="409.5" customHeight="1" x14ac:dyDescent="0.15">
      <c r="A337" s="13">
        <v>3244</v>
      </c>
      <c r="B337" s="14" t="s">
        <v>998</v>
      </c>
      <c r="C337" s="15" t="s">
        <v>999</v>
      </c>
      <c r="D337" s="15" t="s">
        <v>1000</v>
      </c>
      <c r="E337" s="16">
        <v>125</v>
      </c>
      <c r="F337" s="16">
        <v>125</v>
      </c>
      <c r="G337" s="16">
        <v>124</v>
      </c>
      <c r="H337" s="16">
        <v>185</v>
      </c>
      <c r="I337" s="16">
        <v>309</v>
      </c>
      <c r="J337" s="17">
        <v>9.8800000000000003E-6</v>
      </c>
      <c r="K337" s="6">
        <f t="shared" si="5"/>
        <v>1</v>
      </c>
    </row>
    <row r="338" spans="1:11" ht="368" customHeight="1" x14ac:dyDescent="0.15">
      <c r="A338" s="13">
        <v>408</v>
      </c>
      <c r="B338" s="14" t="s">
        <v>1001</v>
      </c>
      <c r="C338" s="15" t="s">
        <v>1002</v>
      </c>
      <c r="D338" s="15" t="s">
        <v>1003</v>
      </c>
      <c r="E338" s="16">
        <v>52</v>
      </c>
      <c r="F338" s="16">
        <v>52</v>
      </c>
      <c r="G338" s="16">
        <v>105</v>
      </c>
      <c r="H338" s="16">
        <v>149</v>
      </c>
      <c r="I338" s="16">
        <v>254</v>
      </c>
      <c r="J338" s="17">
        <v>8.0600000000000008E-6</v>
      </c>
      <c r="K338" s="6">
        <f t="shared" si="5"/>
        <v>1</v>
      </c>
    </row>
    <row r="339" spans="1:11" ht="320" customHeight="1" x14ac:dyDescent="0.15">
      <c r="A339" s="13">
        <v>6369</v>
      </c>
      <c r="B339" s="14" t="s">
        <v>1004</v>
      </c>
      <c r="C339" s="15" t="s">
        <v>1005</v>
      </c>
      <c r="D339" s="15" t="s">
        <v>1006</v>
      </c>
      <c r="E339" s="16">
        <v>25</v>
      </c>
      <c r="F339" s="16">
        <v>25</v>
      </c>
      <c r="G339" s="16">
        <v>91</v>
      </c>
      <c r="H339" s="16">
        <v>148</v>
      </c>
      <c r="I339" s="16">
        <v>239</v>
      </c>
      <c r="J339" s="17">
        <v>7.7400000000000004E-6</v>
      </c>
      <c r="K339" s="6">
        <f t="shared" si="5"/>
        <v>1</v>
      </c>
    </row>
    <row r="340" spans="1:11" ht="409.5" customHeight="1" x14ac:dyDescent="0.15">
      <c r="A340" s="13">
        <v>5577</v>
      </c>
      <c r="B340" s="14" t="s">
        <v>1007</v>
      </c>
      <c r="C340" s="15" t="s">
        <v>1008</v>
      </c>
      <c r="D340" s="15" t="s">
        <v>1009</v>
      </c>
      <c r="E340" s="16">
        <v>1049</v>
      </c>
      <c r="F340" s="16">
        <v>1050</v>
      </c>
      <c r="G340" s="16">
        <v>73</v>
      </c>
      <c r="H340" s="16">
        <v>250</v>
      </c>
      <c r="I340" s="16">
        <v>323</v>
      </c>
      <c r="J340" s="18">
        <v>1.146E-5</v>
      </c>
      <c r="K340" s="6">
        <f t="shared" si="5"/>
        <v>0</v>
      </c>
    </row>
    <row r="341" spans="1:11" ht="409.5" customHeight="1" x14ac:dyDescent="0.15">
      <c r="A341" s="13">
        <v>743</v>
      </c>
      <c r="B341" s="14" t="s">
        <v>1010</v>
      </c>
      <c r="C341" s="15" t="s">
        <v>1011</v>
      </c>
      <c r="D341" s="15" t="s">
        <v>1012</v>
      </c>
      <c r="E341" s="16">
        <v>106000</v>
      </c>
      <c r="F341" s="16">
        <v>106000</v>
      </c>
      <c r="G341" s="16">
        <v>152</v>
      </c>
      <c r="H341" s="16">
        <v>323</v>
      </c>
      <c r="I341" s="16">
        <v>475</v>
      </c>
      <c r="J341" s="18">
        <v>3.3439999999999998E-5</v>
      </c>
      <c r="K341" s="6">
        <f t="shared" si="5"/>
        <v>1</v>
      </c>
    </row>
    <row r="342" spans="1:11" ht="308" customHeight="1" x14ac:dyDescent="0.15">
      <c r="A342" s="13">
        <v>1075</v>
      </c>
      <c r="B342" s="14" t="s">
        <v>1013</v>
      </c>
      <c r="C342" s="15" t="s">
        <v>1014</v>
      </c>
      <c r="D342" s="15" t="s">
        <v>1015</v>
      </c>
      <c r="E342" s="16">
        <v>195</v>
      </c>
      <c r="F342" s="16">
        <v>195</v>
      </c>
      <c r="G342" s="16">
        <v>137</v>
      </c>
      <c r="H342" s="16">
        <v>153</v>
      </c>
      <c r="I342" s="16">
        <v>290</v>
      </c>
      <c r="J342" s="17">
        <v>8.8599999999999999E-6</v>
      </c>
      <c r="K342" s="6">
        <f t="shared" si="5"/>
        <v>1</v>
      </c>
    </row>
    <row r="343" spans="1:11" ht="260" customHeight="1" x14ac:dyDescent="0.15">
      <c r="A343" s="13">
        <v>1056</v>
      </c>
      <c r="B343" s="14" t="s">
        <v>1016</v>
      </c>
      <c r="C343" s="15" t="s">
        <v>1017</v>
      </c>
      <c r="D343" s="15" t="s">
        <v>1018</v>
      </c>
      <c r="E343" s="16">
        <v>8</v>
      </c>
      <c r="F343" s="16">
        <v>8</v>
      </c>
      <c r="G343" s="16">
        <v>100</v>
      </c>
      <c r="H343" s="16">
        <v>124</v>
      </c>
      <c r="I343" s="16">
        <v>224</v>
      </c>
      <c r="J343" s="17">
        <v>6.9600000000000003E-6</v>
      </c>
      <c r="K343" s="6">
        <f t="shared" si="5"/>
        <v>1</v>
      </c>
    </row>
    <row r="344" spans="1:11" ht="260" customHeight="1" x14ac:dyDescent="0.15">
      <c r="A344" s="13">
        <v>6744</v>
      </c>
      <c r="B344" s="14" t="s">
        <v>1019</v>
      </c>
      <c r="C344" s="15" t="s">
        <v>1020</v>
      </c>
      <c r="D344" s="15" t="s">
        <v>1021</v>
      </c>
      <c r="E344" s="16">
        <v>250</v>
      </c>
      <c r="F344" s="16">
        <v>250</v>
      </c>
      <c r="G344" s="16">
        <v>112</v>
      </c>
      <c r="H344" s="16">
        <v>117</v>
      </c>
      <c r="I344" s="16">
        <v>229</v>
      </c>
      <c r="J344" s="17">
        <v>6.9199999999999998E-6</v>
      </c>
      <c r="K344" s="6">
        <f t="shared" si="5"/>
        <v>1</v>
      </c>
    </row>
    <row r="345" spans="1:11" ht="409.5" customHeight="1" x14ac:dyDescent="0.15">
      <c r="A345" s="13">
        <v>7250</v>
      </c>
      <c r="B345" s="14" t="s">
        <v>1022</v>
      </c>
      <c r="C345" s="15" t="s">
        <v>1023</v>
      </c>
      <c r="D345" s="21" t="s">
        <v>1503</v>
      </c>
      <c r="E345" s="16">
        <v>50</v>
      </c>
      <c r="F345" s="16">
        <v>48</v>
      </c>
      <c r="G345" s="16">
        <v>142</v>
      </c>
      <c r="H345" s="16">
        <v>191</v>
      </c>
      <c r="I345" s="16">
        <v>333</v>
      </c>
      <c r="J345" s="18">
        <v>1.048E-5</v>
      </c>
      <c r="K345" s="6">
        <f t="shared" si="5"/>
        <v>0</v>
      </c>
    </row>
    <row r="346" spans="1:11" ht="409.5" customHeight="1" x14ac:dyDescent="0.15">
      <c r="A346" s="13">
        <v>2648</v>
      </c>
      <c r="B346" s="14" t="s">
        <v>1024</v>
      </c>
      <c r="C346" s="15" t="s">
        <v>1025</v>
      </c>
      <c r="D346" s="15" t="s">
        <v>1026</v>
      </c>
      <c r="E346" s="16">
        <v>9</v>
      </c>
      <c r="F346" s="16">
        <v>9</v>
      </c>
      <c r="G346" s="16">
        <v>88</v>
      </c>
      <c r="H346" s="16">
        <v>189</v>
      </c>
      <c r="I346" s="16">
        <v>277</v>
      </c>
      <c r="J346" s="17">
        <v>9.3200000000000006E-6</v>
      </c>
      <c r="K346" s="6">
        <f t="shared" si="5"/>
        <v>1</v>
      </c>
    </row>
    <row r="347" spans="1:11" ht="272" customHeight="1" x14ac:dyDescent="0.15">
      <c r="A347" s="13">
        <v>6643</v>
      </c>
      <c r="B347" s="14" t="s">
        <v>1027</v>
      </c>
      <c r="C347" s="15" t="s">
        <v>1028</v>
      </c>
      <c r="D347" s="15" t="s">
        <v>1029</v>
      </c>
      <c r="E347" s="16">
        <v>74</v>
      </c>
      <c r="F347" s="16">
        <v>74</v>
      </c>
      <c r="G347" s="16">
        <v>117</v>
      </c>
      <c r="H347" s="16">
        <v>147</v>
      </c>
      <c r="I347" s="16">
        <v>264</v>
      </c>
      <c r="J347" s="17">
        <v>8.2199999999999992E-6</v>
      </c>
      <c r="K347" s="6">
        <f t="shared" si="5"/>
        <v>1</v>
      </c>
    </row>
    <row r="348" spans="1:11" ht="404" customHeight="1" x14ac:dyDescent="0.15">
      <c r="A348" s="13">
        <v>19</v>
      </c>
      <c r="B348" s="14" t="s">
        <v>1030</v>
      </c>
      <c r="C348" s="15" t="s">
        <v>1031</v>
      </c>
      <c r="D348" s="15" t="s">
        <v>1032</v>
      </c>
      <c r="E348" s="16">
        <v>16</v>
      </c>
      <c r="F348" s="16">
        <v>16</v>
      </c>
      <c r="G348" s="16">
        <v>103</v>
      </c>
      <c r="H348" s="16">
        <v>190</v>
      </c>
      <c r="I348" s="16">
        <v>293</v>
      </c>
      <c r="J348" s="17">
        <v>9.6600000000000007E-6</v>
      </c>
      <c r="K348" s="6">
        <f t="shared" si="5"/>
        <v>1</v>
      </c>
    </row>
    <row r="349" spans="1:11" ht="356" customHeight="1" x14ac:dyDescent="0.15">
      <c r="A349" s="13">
        <v>6187</v>
      </c>
      <c r="B349" s="14" t="s">
        <v>1033</v>
      </c>
      <c r="C349" s="15" t="s">
        <v>1034</v>
      </c>
      <c r="D349" s="15" t="s">
        <v>1035</v>
      </c>
      <c r="E349" s="16">
        <v>8920</v>
      </c>
      <c r="F349" s="16">
        <v>8900</v>
      </c>
      <c r="G349" s="16">
        <v>77</v>
      </c>
      <c r="H349" s="16">
        <v>144</v>
      </c>
      <c r="I349" s="16">
        <v>221</v>
      </c>
      <c r="J349" s="19">
        <v>7.3000000000000004E-6</v>
      </c>
      <c r="K349" s="6">
        <f t="shared" si="5"/>
        <v>0</v>
      </c>
    </row>
    <row r="350" spans="1:11" ht="409.5" customHeight="1" x14ac:dyDescent="0.15">
      <c r="A350" s="13">
        <v>908</v>
      </c>
      <c r="B350" s="14" t="s">
        <v>1036</v>
      </c>
      <c r="C350" s="15" t="s">
        <v>1037</v>
      </c>
      <c r="D350" s="15" t="s">
        <v>1038</v>
      </c>
      <c r="E350" s="16">
        <v>144000</v>
      </c>
      <c r="F350" s="16">
        <v>144000</v>
      </c>
      <c r="G350" s="16">
        <v>93</v>
      </c>
      <c r="H350" s="16">
        <v>253</v>
      </c>
      <c r="I350" s="16">
        <v>346</v>
      </c>
      <c r="J350" s="18">
        <v>1.198E-5</v>
      </c>
      <c r="K350" s="6">
        <f t="shared" si="5"/>
        <v>1</v>
      </c>
    </row>
    <row r="351" spans="1:11" ht="409.5" customHeight="1" x14ac:dyDescent="0.15">
      <c r="A351" s="13">
        <v>5635</v>
      </c>
      <c r="B351" s="14" t="s">
        <v>1039</v>
      </c>
      <c r="C351" s="15" t="s">
        <v>1040</v>
      </c>
      <c r="D351" s="15" t="s">
        <v>1041</v>
      </c>
      <c r="E351" s="16">
        <v>20</v>
      </c>
      <c r="F351" s="16">
        <v>20</v>
      </c>
      <c r="G351" s="16">
        <v>101</v>
      </c>
      <c r="H351" s="16">
        <v>173</v>
      </c>
      <c r="I351" s="16">
        <v>274</v>
      </c>
      <c r="J351" s="17">
        <v>8.9400000000000008E-6</v>
      </c>
      <c r="K351" s="6">
        <f t="shared" si="5"/>
        <v>1</v>
      </c>
    </row>
    <row r="352" spans="1:11" ht="152" customHeight="1" x14ac:dyDescent="0.15">
      <c r="A352" s="13">
        <v>6583</v>
      </c>
      <c r="B352" s="14" t="s">
        <v>1042</v>
      </c>
      <c r="C352" s="15" t="s">
        <v>1043</v>
      </c>
      <c r="D352" s="15" t="s">
        <v>1044</v>
      </c>
      <c r="E352" s="16">
        <v>2750</v>
      </c>
      <c r="F352" s="16">
        <v>2750</v>
      </c>
      <c r="G352" s="16">
        <v>74</v>
      </c>
      <c r="H352" s="16">
        <v>90</v>
      </c>
      <c r="I352" s="16">
        <v>164</v>
      </c>
      <c r="J352" s="17">
        <v>5.0799999999999996E-6</v>
      </c>
      <c r="K352" s="6">
        <f t="shared" si="5"/>
        <v>1</v>
      </c>
    </row>
    <row r="353" spans="1:11" ht="392" customHeight="1" x14ac:dyDescent="0.15">
      <c r="A353" s="13">
        <v>835</v>
      </c>
      <c r="B353" s="14" t="s">
        <v>1045</v>
      </c>
      <c r="C353" s="15" t="s">
        <v>1046</v>
      </c>
      <c r="D353" s="15" t="s">
        <v>1047</v>
      </c>
      <c r="E353" s="16">
        <v>400</v>
      </c>
      <c r="F353" s="16">
        <v>300</v>
      </c>
      <c r="G353" s="16">
        <v>128</v>
      </c>
      <c r="H353" s="16">
        <v>186</v>
      </c>
      <c r="I353" s="16">
        <v>314</v>
      </c>
      <c r="J353" s="22">
        <v>1.0000000000000001E-5</v>
      </c>
      <c r="K353" s="6">
        <f t="shared" si="5"/>
        <v>0</v>
      </c>
    </row>
    <row r="354" spans="1:11" ht="409.5" customHeight="1" x14ac:dyDescent="0.15">
      <c r="A354" s="13">
        <v>3182</v>
      </c>
      <c r="B354" s="14" t="s">
        <v>1048</v>
      </c>
      <c r="C354" s="15" t="s">
        <v>1049</v>
      </c>
      <c r="D354" s="15" t="s">
        <v>1050</v>
      </c>
      <c r="E354" s="16">
        <v>960</v>
      </c>
      <c r="F354" s="16">
        <v>960</v>
      </c>
      <c r="G354" s="16">
        <v>119</v>
      </c>
      <c r="H354" s="16">
        <v>349</v>
      </c>
      <c r="I354" s="16">
        <v>468</v>
      </c>
      <c r="J354" s="18">
        <v>1.6339999999999999E-5</v>
      </c>
      <c r="K354" s="6">
        <f t="shared" si="5"/>
        <v>1</v>
      </c>
    </row>
    <row r="355" spans="1:11" ht="409.5" customHeight="1" x14ac:dyDescent="0.15">
      <c r="A355" s="13">
        <v>239</v>
      </c>
      <c r="B355" s="14" t="s">
        <v>1051</v>
      </c>
      <c r="C355" s="15" t="s">
        <v>1052</v>
      </c>
      <c r="D355" s="15" t="s">
        <v>1053</v>
      </c>
      <c r="E355" s="16">
        <v>3</v>
      </c>
      <c r="F355" s="16">
        <v>3</v>
      </c>
      <c r="G355" s="16">
        <v>117</v>
      </c>
      <c r="H355" s="16">
        <v>296</v>
      </c>
      <c r="I355" s="16">
        <v>413</v>
      </c>
      <c r="J355" s="18">
        <v>1.418E-5</v>
      </c>
      <c r="K355" s="6">
        <f t="shared" si="5"/>
        <v>1</v>
      </c>
    </row>
    <row r="356" spans="1:11" ht="224" customHeight="1" x14ac:dyDescent="0.15">
      <c r="A356" s="13">
        <v>2304</v>
      </c>
      <c r="B356" s="14" t="s">
        <v>1054</v>
      </c>
      <c r="C356" s="15" t="s">
        <v>1055</v>
      </c>
      <c r="D356" s="15" t="s">
        <v>1056</v>
      </c>
      <c r="E356" s="16">
        <v>97</v>
      </c>
      <c r="F356" s="16">
        <v>97</v>
      </c>
      <c r="G356" s="16">
        <v>75</v>
      </c>
      <c r="H356" s="16">
        <v>88</v>
      </c>
      <c r="I356" s="16">
        <v>163</v>
      </c>
      <c r="J356" s="17">
        <v>5.0200000000000002E-6</v>
      </c>
      <c r="K356" s="6">
        <f t="shared" si="5"/>
        <v>1</v>
      </c>
    </row>
    <row r="357" spans="1:11" ht="380" customHeight="1" x14ac:dyDescent="0.15">
      <c r="A357" s="13">
        <v>1429</v>
      </c>
      <c r="B357" s="14" t="s">
        <v>1057</v>
      </c>
      <c r="C357" s="15" t="s">
        <v>1058</v>
      </c>
      <c r="D357" s="15" t="s">
        <v>1059</v>
      </c>
      <c r="E357" s="16">
        <v>20</v>
      </c>
      <c r="F357" s="16">
        <v>20</v>
      </c>
      <c r="G357" s="16">
        <v>105</v>
      </c>
      <c r="H357" s="16">
        <v>163</v>
      </c>
      <c r="I357" s="16">
        <v>268</v>
      </c>
      <c r="J357" s="17">
        <v>8.6200000000000005E-6</v>
      </c>
      <c r="K357" s="6">
        <f t="shared" si="5"/>
        <v>1</v>
      </c>
    </row>
    <row r="358" spans="1:11" ht="409.5" customHeight="1" x14ac:dyDescent="0.15">
      <c r="A358" s="13">
        <v>6078</v>
      </c>
      <c r="B358" s="14" t="s">
        <v>1060</v>
      </c>
      <c r="C358" s="15" t="s">
        <v>1061</v>
      </c>
      <c r="D358" s="15" t="s">
        <v>1062</v>
      </c>
      <c r="E358" s="16">
        <v>315</v>
      </c>
      <c r="F358" s="16">
        <v>315</v>
      </c>
      <c r="G358" s="16">
        <v>130</v>
      </c>
      <c r="H358" s="16">
        <v>200</v>
      </c>
      <c r="I358" s="16">
        <v>330</v>
      </c>
      <c r="J358" s="17">
        <v>1.06E-5</v>
      </c>
      <c r="K358" s="6">
        <f t="shared" si="5"/>
        <v>1</v>
      </c>
    </row>
    <row r="359" spans="1:11" ht="212" customHeight="1" x14ac:dyDescent="0.15">
      <c r="A359" s="13">
        <v>586</v>
      </c>
      <c r="B359" s="14" t="s">
        <v>1063</v>
      </c>
      <c r="C359" s="15" t="s">
        <v>1064</v>
      </c>
      <c r="D359" s="15" t="s">
        <v>1065</v>
      </c>
      <c r="E359" s="16">
        <v>32</v>
      </c>
      <c r="F359" s="16">
        <v>32</v>
      </c>
      <c r="G359" s="16">
        <v>104</v>
      </c>
      <c r="H359" s="16">
        <v>99</v>
      </c>
      <c r="I359" s="16">
        <v>203</v>
      </c>
      <c r="J359" s="17">
        <v>6.0399999999999998E-6</v>
      </c>
      <c r="K359" s="6">
        <f t="shared" si="5"/>
        <v>1</v>
      </c>
    </row>
    <row r="360" spans="1:11" ht="409.5" customHeight="1" x14ac:dyDescent="0.15">
      <c r="A360" s="13">
        <v>3458</v>
      </c>
      <c r="B360" s="14" t="s">
        <v>1066</v>
      </c>
      <c r="C360" s="15" t="s">
        <v>1067</v>
      </c>
      <c r="D360" s="15" t="s">
        <v>1068</v>
      </c>
      <c r="E360" s="16">
        <v>936</v>
      </c>
      <c r="F360" s="16">
        <v>936</v>
      </c>
      <c r="G360" s="16">
        <v>73</v>
      </c>
      <c r="H360" s="16">
        <v>163</v>
      </c>
      <c r="I360" s="16">
        <v>236</v>
      </c>
      <c r="J360" s="17">
        <v>7.9799999999999998E-6</v>
      </c>
      <c r="K360" s="6">
        <f t="shared" si="5"/>
        <v>1</v>
      </c>
    </row>
    <row r="361" spans="1:11" ht="262.75" customHeight="1" x14ac:dyDescent="0.15">
      <c r="A361" s="13">
        <v>1103</v>
      </c>
      <c r="B361" s="14" t="s">
        <v>1069</v>
      </c>
      <c r="C361" s="15" t="s">
        <v>1070</v>
      </c>
      <c r="D361" s="15" t="s">
        <v>1071</v>
      </c>
      <c r="E361" s="23"/>
      <c r="F361" s="16">
        <v>6</v>
      </c>
      <c r="G361" s="16">
        <v>112</v>
      </c>
      <c r="H361" s="16">
        <v>16384</v>
      </c>
      <c r="I361" s="16">
        <v>16496</v>
      </c>
      <c r="J361" s="16">
        <v>6.5760000000000005E-4</v>
      </c>
      <c r="K361" s="6">
        <f t="shared" si="5"/>
        <v>0</v>
      </c>
    </row>
    <row r="362" spans="1:11" ht="409.5" customHeight="1" x14ac:dyDescent="0.15">
      <c r="A362" s="13">
        <v>3614</v>
      </c>
      <c r="B362" s="14" t="s">
        <v>1072</v>
      </c>
      <c r="C362" s="15" t="s">
        <v>1073</v>
      </c>
      <c r="D362" s="15" t="s">
        <v>1074</v>
      </c>
      <c r="E362" s="16">
        <v>900</v>
      </c>
      <c r="F362" s="16">
        <v>900</v>
      </c>
      <c r="G362" s="16">
        <v>108</v>
      </c>
      <c r="H362" s="16">
        <v>186</v>
      </c>
      <c r="I362" s="16">
        <v>294</v>
      </c>
      <c r="J362" s="18">
        <v>1.146E-5</v>
      </c>
      <c r="K362" s="6">
        <f t="shared" si="5"/>
        <v>1</v>
      </c>
    </row>
    <row r="363" spans="1:11" ht="236" customHeight="1" x14ac:dyDescent="0.15">
      <c r="A363" s="13">
        <v>4960</v>
      </c>
      <c r="B363" s="14" t="s">
        <v>1075</v>
      </c>
      <c r="C363" s="15" t="s">
        <v>1076</v>
      </c>
      <c r="D363" s="15" t="s">
        <v>1077</v>
      </c>
      <c r="E363" s="16">
        <v>4</v>
      </c>
      <c r="F363" s="16">
        <v>4</v>
      </c>
      <c r="G363" s="16">
        <v>102</v>
      </c>
      <c r="H363" s="16">
        <v>104</v>
      </c>
      <c r="I363" s="16">
        <v>206</v>
      </c>
      <c r="J363" s="19">
        <v>6.1999999999999999E-6</v>
      </c>
      <c r="K363" s="6">
        <f t="shared" si="5"/>
        <v>1</v>
      </c>
    </row>
    <row r="364" spans="1:11" ht="272" customHeight="1" x14ac:dyDescent="0.15">
      <c r="A364" s="13">
        <v>308</v>
      </c>
      <c r="B364" s="14" t="s">
        <v>1078</v>
      </c>
      <c r="C364" s="15" t="s">
        <v>1079</v>
      </c>
      <c r="D364" s="15" t="s">
        <v>1080</v>
      </c>
      <c r="E364" s="16">
        <v>60</v>
      </c>
      <c r="F364" s="16">
        <v>60</v>
      </c>
      <c r="G364" s="16">
        <v>86</v>
      </c>
      <c r="H364" s="16">
        <v>117</v>
      </c>
      <c r="I364" s="16">
        <v>203</v>
      </c>
      <c r="J364" s="17">
        <v>7.5700000000000004E-6</v>
      </c>
      <c r="K364" s="6">
        <f t="shared" si="5"/>
        <v>1</v>
      </c>
    </row>
    <row r="365" spans="1:11" ht="409.5" customHeight="1" x14ac:dyDescent="0.15">
      <c r="A365" s="13">
        <v>5367</v>
      </c>
      <c r="B365" s="14" t="s">
        <v>1081</v>
      </c>
      <c r="C365" s="15" t="s">
        <v>1082</v>
      </c>
      <c r="D365" s="15" t="s">
        <v>1083</v>
      </c>
      <c r="E365" s="16">
        <v>95</v>
      </c>
      <c r="F365" s="16">
        <v>95</v>
      </c>
      <c r="G365" s="16">
        <v>137</v>
      </c>
      <c r="H365" s="16">
        <v>321</v>
      </c>
      <c r="I365" s="16">
        <v>458</v>
      </c>
      <c r="J365" s="18">
        <v>1.558E-5</v>
      </c>
      <c r="K365" s="6">
        <f t="shared" si="5"/>
        <v>1</v>
      </c>
    </row>
    <row r="366" spans="1:11" ht="380" customHeight="1" x14ac:dyDescent="0.15">
      <c r="A366" s="13">
        <v>6409</v>
      </c>
      <c r="B366" s="14" t="s">
        <v>1084</v>
      </c>
      <c r="C366" s="15" t="s">
        <v>1085</v>
      </c>
      <c r="D366" s="15" t="s">
        <v>1086</v>
      </c>
      <c r="E366" s="16">
        <v>180</v>
      </c>
      <c r="F366" s="16">
        <v>90</v>
      </c>
      <c r="G366" s="16">
        <v>82</v>
      </c>
      <c r="H366" s="16">
        <v>187</v>
      </c>
      <c r="I366" s="16">
        <v>269</v>
      </c>
      <c r="J366" s="17">
        <v>9.1200000000000008E-6</v>
      </c>
      <c r="K366" s="6">
        <f t="shared" si="5"/>
        <v>0</v>
      </c>
    </row>
    <row r="367" spans="1:11" ht="409.5" customHeight="1" x14ac:dyDescent="0.15">
      <c r="A367" s="13">
        <v>7069</v>
      </c>
      <c r="B367" s="14" t="s">
        <v>1087</v>
      </c>
      <c r="C367" s="15" t="s">
        <v>1088</v>
      </c>
      <c r="D367" s="15" t="s">
        <v>1089</v>
      </c>
      <c r="E367" s="16">
        <v>23</v>
      </c>
      <c r="F367" s="16">
        <v>23</v>
      </c>
      <c r="G367" s="16">
        <v>131</v>
      </c>
      <c r="H367" s="16">
        <v>224</v>
      </c>
      <c r="I367" s="16">
        <v>355</v>
      </c>
      <c r="J367" s="18">
        <v>1.1579999999999999E-5</v>
      </c>
      <c r="K367" s="6">
        <f t="shared" si="5"/>
        <v>1</v>
      </c>
    </row>
    <row r="368" spans="1:11" ht="248" customHeight="1" x14ac:dyDescent="0.15">
      <c r="A368" s="13">
        <v>4316</v>
      </c>
      <c r="B368" s="14" t="s">
        <v>1090</v>
      </c>
      <c r="C368" s="15" t="s">
        <v>1091</v>
      </c>
      <c r="D368" s="15" t="s">
        <v>1092</v>
      </c>
      <c r="E368" s="16">
        <v>26400</v>
      </c>
      <c r="F368" s="16">
        <v>26400</v>
      </c>
      <c r="G368" s="16">
        <v>98</v>
      </c>
      <c r="H368" s="16">
        <v>114</v>
      </c>
      <c r="I368" s="16">
        <v>212</v>
      </c>
      <c r="J368" s="17">
        <v>6.5200000000000003E-6</v>
      </c>
      <c r="K368" s="6">
        <f t="shared" si="5"/>
        <v>1</v>
      </c>
    </row>
    <row r="369" spans="1:11" ht="236" customHeight="1" x14ac:dyDescent="0.15">
      <c r="A369" s="13">
        <v>503</v>
      </c>
      <c r="B369" s="14" t="s">
        <v>1093</v>
      </c>
      <c r="C369" s="15" t="s">
        <v>1094</v>
      </c>
      <c r="D369" s="15" t="s">
        <v>1095</v>
      </c>
      <c r="E369" s="16">
        <v>20</v>
      </c>
      <c r="F369" s="16">
        <v>20</v>
      </c>
      <c r="G369" s="16">
        <v>106</v>
      </c>
      <c r="H369" s="16">
        <v>111</v>
      </c>
      <c r="I369" s="16">
        <v>217</v>
      </c>
      <c r="J369" s="17">
        <v>7.6699999999999994E-6</v>
      </c>
      <c r="K369" s="6">
        <f t="shared" si="5"/>
        <v>1</v>
      </c>
    </row>
    <row r="370" spans="1:11" ht="344" customHeight="1" x14ac:dyDescent="0.15">
      <c r="A370" s="13">
        <v>4781</v>
      </c>
      <c r="B370" s="14" t="s">
        <v>1096</v>
      </c>
      <c r="C370" s="15" t="s">
        <v>1097</v>
      </c>
      <c r="D370" s="15" t="s">
        <v>1098</v>
      </c>
      <c r="E370" s="16">
        <v>1</v>
      </c>
      <c r="F370" s="16">
        <v>1</v>
      </c>
      <c r="G370" s="16">
        <v>82</v>
      </c>
      <c r="H370" s="16">
        <v>135</v>
      </c>
      <c r="I370" s="16">
        <v>217</v>
      </c>
      <c r="J370" s="17">
        <v>8.3899999999999993E-6</v>
      </c>
      <c r="K370" s="6">
        <f t="shared" si="5"/>
        <v>1</v>
      </c>
    </row>
    <row r="371" spans="1:11" ht="380" customHeight="1" x14ac:dyDescent="0.15">
      <c r="A371" s="13">
        <v>3071</v>
      </c>
      <c r="B371" s="14" t="s">
        <v>1099</v>
      </c>
      <c r="C371" s="15" t="s">
        <v>1100</v>
      </c>
      <c r="D371" s="15" t="s">
        <v>1101</v>
      </c>
      <c r="E371" s="16">
        <v>5</v>
      </c>
      <c r="F371" s="16">
        <v>5</v>
      </c>
      <c r="G371" s="16">
        <v>101</v>
      </c>
      <c r="H371" s="16">
        <v>175</v>
      </c>
      <c r="I371" s="16">
        <v>276</v>
      </c>
      <c r="J371" s="17">
        <v>9.02E-6</v>
      </c>
      <c r="K371" s="6">
        <f t="shared" si="5"/>
        <v>1</v>
      </c>
    </row>
    <row r="372" spans="1:11" ht="200" customHeight="1" x14ac:dyDescent="0.15">
      <c r="A372" s="13">
        <v>4629</v>
      </c>
      <c r="B372" s="14" t="s">
        <v>1102</v>
      </c>
      <c r="C372" s="15" t="s">
        <v>1103</v>
      </c>
      <c r="D372" s="15" t="s">
        <v>1104</v>
      </c>
      <c r="E372" s="16">
        <v>2</v>
      </c>
      <c r="F372" s="16">
        <v>2</v>
      </c>
      <c r="G372" s="16">
        <v>65</v>
      </c>
      <c r="H372" s="16">
        <v>98</v>
      </c>
      <c r="I372" s="16">
        <v>163</v>
      </c>
      <c r="J372" s="17">
        <v>5.22E-6</v>
      </c>
      <c r="K372" s="6">
        <f t="shared" si="5"/>
        <v>1</v>
      </c>
    </row>
    <row r="373" spans="1:11" ht="409.5" customHeight="1" x14ac:dyDescent="0.15">
      <c r="A373" s="13">
        <v>3621</v>
      </c>
      <c r="B373" s="14" t="s">
        <v>1105</v>
      </c>
      <c r="C373" s="15" t="s">
        <v>1106</v>
      </c>
      <c r="D373" s="15" t="s">
        <v>1107</v>
      </c>
      <c r="E373" s="16">
        <v>7600</v>
      </c>
      <c r="F373" s="16">
        <v>7600</v>
      </c>
      <c r="G373" s="16">
        <v>94</v>
      </c>
      <c r="H373" s="16">
        <v>205</v>
      </c>
      <c r="I373" s="16">
        <v>299</v>
      </c>
      <c r="J373" s="18">
        <v>1.008E-5</v>
      </c>
      <c r="K373" s="6">
        <f t="shared" si="5"/>
        <v>1</v>
      </c>
    </row>
    <row r="374" spans="1:11" ht="284" customHeight="1" x14ac:dyDescent="0.15">
      <c r="A374" s="13">
        <v>683</v>
      </c>
      <c r="B374" s="14" t="s">
        <v>1108</v>
      </c>
      <c r="C374" s="15" t="s">
        <v>1109</v>
      </c>
      <c r="D374" s="15" t="s">
        <v>1110</v>
      </c>
      <c r="E374" s="16">
        <v>15</v>
      </c>
      <c r="F374" s="16">
        <v>15</v>
      </c>
      <c r="G374" s="16">
        <v>86</v>
      </c>
      <c r="H374" s="16">
        <v>111</v>
      </c>
      <c r="I374" s="16">
        <v>197</v>
      </c>
      <c r="J374" s="17">
        <v>6.1600000000000003E-6</v>
      </c>
      <c r="K374" s="6">
        <f t="shared" si="5"/>
        <v>1</v>
      </c>
    </row>
    <row r="375" spans="1:11" ht="409.5" customHeight="1" x14ac:dyDescent="0.15">
      <c r="A375" s="13">
        <v>4482</v>
      </c>
      <c r="B375" s="14" t="s">
        <v>1111</v>
      </c>
      <c r="C375" s="15" t="s">
        <v>1112</v>
      </c>
      <c r="D375" s="15" t="s">
        <v>1113</v>
      </c>
      <c r="E375" s="16">
        <v>3</v>
      </c>
      <c r="F375" s="16">
        <v>3</v>
      </c>
      <c r="G375" s="16">
        <v>123</v>
      </c>
      <c r="H375" s="16">
        <v>237</v>
      </c>
      <c r="I375" s="16">
        <v>360</v>
      </c>
      <c r="J375" s="18">
        <v>2.5109999999999998E-5</v>
      </c>
      <c r="K375" s="6">
        <f t="shared" si="5"/>
        <v>1</v>
      </c>
    </row>
    <row r="376" spans="1:11" ht="248" customHeight="1" x14ac:dyDescent="0.15">
      <c r="A376" s="13">
        <v>3819</v>
      </c>
      <c r="B376" s="14" t="s">
        <v>1114</v>
      </c>
      <c r="C376" s="15" t="s">
        <v>1115</v>
      </c>
      <c r="D376" s="15" t="s">
        <v>1116</v>
      </c>
      <c r="E376" s="16">
        <v>37</v>
      </c>
      <c r="F376" s="16">
        <v>37</v>
      </c>
      <c r="G376" s="16">
        <v>123</v>
      </c>
      <c r="H376" s="16">
        <v>115</v>
      </c>
      <c r="I376" s="16">
        <v>238</v>
      </c>
      <c r="J376" s="17">
        <v>7.0600000000000002E-6</v>
      </c>
      <c r="K376" s="6">
        <f t="shared" si="5"/>
        <v>1</v>
      </c>
    </row>
    <row r="377" spans="1:11" ht="368" customHeight="1" x14ac:dyDescent="0.15">
      <c r="A377" s="13">
        <v>2063</v>
      </c>
      <c r="B377" s="14" t="s">
        <v>1117</v>
      </c>
      <c r="C377" s="15" t="s">
        <v>1118</v>
      </c>
      <c r="D377" s="15" t="s">
        <v>1119</v>
      </c>
      <c r="E377" s="16">
        <v>120</v>
      </c>
      <c r="F377" s="16">
        <v>200</v>
      </c>
      <c r="G377" s="16">
        <v>150</v>
      </c>
      <c r="H377" s="16">
        <v>173</v>
      </c>
      <c r="I377" s="16">
        <v>323</v>
      </c>
      <c r="J377" s="18">
        <v>1.165E-5</v>
      </c>
      <c r="K377" s="6">
        <f t="shared" si="5"/>
        <v>0</v>
      </c>
    </row>
    <row r="378" spans="1:11" ht="272" customHeight="1" x14ac:dyDescent="0.15">
      <c r="A378" s="13">
        <v>7057</v>
      </c>
      <c r="B378" s="14" t="s">
        <v>1120</v>
      </c>
      <c r="C378" s="15" t="s">
        <v>1121</v>
      </c>
      <c r="D378" s="15" t="s">
        <v>1122</v>
      </c>
      <c r="E378" s="16">
        <v>12</v>
      </c>
      <c r="F378" s="16">
        <v>12</v>
      </c>
      <c r="G378" s="16">
        <v>110</v>
      </c>
      <c r="H378" s="16">
        <v>135</v>
      </c>
      <c r="I378" s="16">
        <v>245</v>
      </c>
      <c r="J378" s="17">
        <v>8.9500000000000007E-6</v>
      </c>
      <c r="K378" s="6">
        <f t="shared" si="5"/>
        <v>1</v>
      </c>
    </row>
    <row r="379" spans="1:11" ht="188" customHeight="1" x14ac:dyDescent="0.15">
      <c r="A379" s="13">
        <v>1515</v>
      </c>
      <c r="B379" s="14" t="s">
        <v>1123</v>
      </c>
      <c r="C379" s="15" t="s">
        <v>1124</v>
      </c>
      <c r="D379" s="15" t="s">
        <v>1125</v>
      </c>
      <c r="E379" s="16">
        <v>159</v>
      </c>
      <c r="F379" s="16">
        <v>159</v>
      </c>
      <c r="G379" s="16">
        <v>78</v>
      </c>
      <c r="H379" s="16">
        <v>74</v>
      </c>
      <c r="I379" s="16">
        <v>152</v>
      </c>
      <c r="J379" s="17">
        <v>5.2599999999999996E-6</v>
      </c>
      <c r="K379" s="6">
        <f t="shared" si="5"/>
        <v>1</v>
      </c>
    </row>
    <row r="380" spans="1:11" ht="260" customHeight="1" x14ac:dyDescent="0.15">
      <c r="A380" s="13">
        <v>800</v>
      </c>
      <c r="B380" s="14" t="s">
        <v>1126</v>
      </c>
      <c r="C380" s="15" t="s">
        <v>1127</v>
      </c>
      <c r="D380" s="15" t="s">
        <v>1128</v>
      </c>
      <c r="E380" s="16">
        <v>3</v>
      </c>
      <c r="F380" s="16">
        <v>3</v>
      </c>
      <c r="G380" s="16">
        <v>125</v>
      </c>
      <c r="H380" s="16">
        <v>147</v>
      </c>
      <c r="I380" s="16">
        <v>272</v>
      </c>
      <c r="J380" s="17">
        <v>9.8500000000000006E-6</v>
      </c>
      <c r="K380" s="6">
        <f t="shared" si="5"/>
        <v>1</v>
      </c>
    </row>
    <row r="381" spans="1:11" ht="409.5" customHeight="1" x14ac:dyDescent="0.15">
      <c r="A381" s="13">
        <v>1755</v>
      </c>
      <c r="B381" s="14" t="s">
        <v>1129</v>
      </c>
      <c r="C381" s="15" t="s">
        <v>1130</v>
      </c>
      <c r="D381" s="15" t="s">
        <v>1131</v>
      </c>
      <c r="E381" s="16">
        <v>5</v>
      </c>
      <c r="F381" s="16">
        <v>5</v>
      </c>
      <c r="G381" s="16">
        <v>101</v>
      </c>
      <c r="H381" s="16">
        <v>167</v>
      </c>
      <c r="I381" s="16">
        <v>268</v>
      </c>
      <c r="J381" s="19">
        <v>8.6999999999999997E-6</v>
      </c>
      <c r="K381" s="6">
        <f t="shared" si="5"/>
        <v>1</v>
      </c>
    </row>
    <row r="382" spans="1:11" ht="409.5" customHeight="1" x14ac:dyDescent="0.15">
      <c r="A382" s="13">
        <v>6309</v>
      </c>
      <c r="B382" s="14" t="s">
        <v>1132</v>
      </c>
      <c r="C382" s="15" t="s">
        <v>1133</v>
      </c>
      <c r="D382" s="15" t="s">
        <v>1134</v>
      </c>
      <c r="E382" s="16">
        <v>15</v>
      </c>
      <c r="F382" s="16">
        <v>15</v>
      </c>
      <c r="G382" s="16">
        <v>112</v>
      </c>
      <c r="H382" s="16">
        <v>192</v>
      </c>
      <c r="I382" s="16">
        <v>304</v>
      </c>
      <c r="J382" s="18">
        <v>1.184E-5</v>
      </c>
      <c r="K382" s="6">
        <f t="shared" si="5"/>
        <v>1</v>
      </c>
    </row>
    <row r="383" spans="1:11" ht="409.5" customHeight="1" x14ac:dyDescent="0.15">
      <c r="A383" s="13">
        <v>7439</v>
      </c>
      <c r="B383" s="14" t="s">
        <v>1135</v>
      </c>
      <c r="C383" s="15" t="s">
        <v>1136</v>
      </c>
      <c r="D383" s="15" t="s">
        <v>1137</v>
      </c>
      <c r="E383" s="16">
        <v>72</v>
      </c>
      <c r="F383" s="16">
        <v>78</v>
      </c>
      <c r="G383" s="16">
        <v>84</v>
      </c>
      <c r="H383" s="16">
        <v>221</v>
      </c>
      <c r="I383" s="16">
        <v>305</v>
      </c>
      <c r="J383" s="18">
        <v>1.0519999999999999E-5</v>
      </c>
      <c r="K383" s="6">
        <f t="shared" si="5"/>
        <v>0</v>
      </c>
    </row>
    <row r="384" spans="1:11" ht="356" customHeight="1" x14ac:dyDescent="0.15">
      <c r="A384" s="13">
        <v>1807</v>
      </c>
      <c r="B384" s="14" t="s">
        <v>1138</v>
      </c>
      <c r="C384" s="15" t="s">
        <v>1139</v>
      </c>
      <c r="D384" s="15" t="s">
        <v>1140</v>
      </c>
      <c r="E384" s="16">
        <v>32</v>
      </c>
      <c r="F384" s="16">
        <v>32</v>
      </c>
      <c r="G384" s="16">
        <v>97</v>
      </c>
      <c r="H384" s="16">
        <v>179</v>
      </c>
      <c r="I384" s="16">
        <v>276</v>
      </c>
      <c r="J384" s="19">
        <v>9.0999999999999993E-6</v>
      </c>
      <c r="K384" s="6">
        <f t="shared" si="5"/>
        <v>1</v>
      </c>
    </row>
    <row r="385" spans="1:11" ht="368" customHeight="1" x14ac:dyDescent="0.15">
      <c r="A385" s="13">
        <v>7317</v>
      </c>
      <c r="B385" s="14" t="s">
        <v>1141</v>
      </c>
      <c r="C385" s="15" t="s">
        <v>1142</v>
      </c>
      <c r="D385" s="15" t="s">
        <v>1143</v>
      </c>
      <c r="E385" s="16">
        <v>38</v>
      </c>
      <c r="F385" s="16">
        <v>38</v>
      </c>
      <c r="G385" s="16">
        <v>98</v>
      </c>
      <c r="H385" s="16">
        <v>168</v>
      </c>
      <c r="I385" s="16">
        <v>266</v>
      </c>
      <c r="J385" s="17">
        <v>8.6799999999999999E-6</v>
      </c>
      <c r="K385" s="6">
        <f t="shared" si="5"/>
        <v>1</v>
      </c>
    </row>
    <row r="386" spans="1:11" ht="224" customHeight="1" x14ac:dyDescent="0.15">
      <c r="A386" s="13">
        <v>4680</v>
      </c>
      <c r="B386" s="14" t="s">
        <v>1144</v>
      </c>
      <c r="C386" s="15" t="s">
        <v>1145</v>
      </c>
      <c r="D386" s="15" t="s">
        <v>1146</v>
      </c>
      <c r="E386" s="16">
        <v>56</v>
      </c>
      <c r="F386" s="16">
        <v>56</v>
      </c>
      <c r="G386" s="16">
        <v>89</v>
      </c>
      <c r="H386" s="16">
        <v>99</v>
      </c>
      <c r="I386" s="16">
        <v>188</v>
      </c>
      <c r="J386" s="17">
        <v>5.7400000000000001E-6</v>
      </c>
      <c r="K386" s="6">
        <f t="shared" si="5"/>
        <v>1</v>
      </c>
    </row>
    <row r="387" spans="1:11" ht="409.5" customHeight="1" x14ac:dyDescent="0.15">
      <c r="A387" s="13">
        <v>1181</v>
      </c>
      <c r="B387" s="14" t="s">
        <v>1147</v>
      </c>
      <c r="C387" s="15" t="s">
        <v>1148</v>
      </c>
      <c r="D387" s="15" t="s">
        <v>1149</v>
      </c>
      <c r="E387" s="16">
        <v>660</v>
      </c>
      <c r="F387" s="16">
        <v>660</v>
      </c>
      <c r="G387" s="16">
        <v>113</v>
      </c>
      <c r="H387" s="16">
        <v>176</v>
      </c>
      <c r="I387" s="16">
        <v>289</v>
      </c>
      <c r="J387" s="19">
        <v>9.3000000000000007E-6</v>
      </c>
      <c r="K387" s="6">
        <f t="shared" si="5"/>
        <v>1</v>
      </c>
    </row>
    <row r="388" spans="1:11" ht="368" customHeight="1" x14ac:dyDescent="0.15">
      <c r="A388" s="13">
        <v>773</v>
      </c>
      <c r="B388" s="14" t="s">
        <v>1150</v>
      </c>
      <c r="C388" s="15" t="s">
        <v>1151</v>
      </c>
      <c r="D388" s="15" t="s">
        <v>1152</v>
      </c>
      <c r="E388" s="16">
        <v>121</v>
      </c>
      <c r="F388" s="16">
        <v>121</v>
      </c>
      <c r="G388" s="16">
        <v>92</v>
      </c>
      <c r="H388" s="16">
        <v>171</v>
      </c>
      <c r="I388" s="16">
        <v>263</v>
      </c>
      <c r="J388" s="17">
        <v>8.6799999999999999E-6</v>
      </c>
      <c r="K388" s="6">
        <f t="shared" si="5"/>
        <v>1</v>
      </c>
    </row>
    <row r="389" spans="1:11" ht="260" customHeight="1" x14ac:dyDescent="0.15">
      <c r="A389" s="13">
        <v>4857</v>
      </c>
      <c r="B389" s="14" t="s">
        <v>1153</v>
      </c>
      <c r="C389" s="15" t="s">
        <v>1154</v>
      </c>
      <c r="D389" s="15" t="s">
        <v>1155</v>
      </c>
      <c r="E389" s="16">
        <v>112</v>
      </c>
      <c r="F389" s="16">
        <v>196</v>
      </c>
      <c r="G389" s="16">
        <v>93</v>
      </c>
      <c r="H389" s="16">
        <v>152</v>
      </c>
      <c r="I389" s="16">
        <v>245</v>
      </c>
      <c r="J389" s="17">
        <v>7.9400000000000002E-6</v>
      </c>
      <c r="K389" s="6">
        <f t="shared" si="5"/>
        <v>0</v>
      </c>
    </row>
    <row r="390" spans="1:11" ht="409.5" customHeight="1" x14ac:dyDescent="0.15">
      <c r="A390" s="13">
        <v>1731</v>
      </c>
      <c r="B390" s="14" t="s">
        <v>1156</v>
      </c>
      <c r="C390" s="15" t="s">
        <v>1157</v>
      </c>
      <c r="D390" s="15" t="s">
        <v>1158</v>
      </c>
      <c r="E390" s="16">
        <v>1</v>
      </c>
      <c r="F390" s="16">
        <v>1</v>
      </c>
      <c r="G390" s="16">
        <v>123</v>
      </c>
      <c r="H390" s="16">
        <v>180</v>
      </c>
      <c r="I390" s="16">
        <v>303</v>
      </c>
      <c r="J390" s="20">
        <v>7.0356000000000002E-5</v>
      </c>
      <c r="K390" s="6">
        <f t="shared" ref="K390:K453" si="6">IF(OR(ISBLANK(E390), ISBLANK(F390)), 0, IF(E390=F390, 1, 0))</f>
        <v>1</v>
      </c>
    </row>
    <row r="391" spans="1:11" ht="200" customHeight="1" x14ac:dyDescent="0.15">
      <c r="A391" s="13">
        <v>3439</v>
      </c>
      <c r="B391" s="14" t="s">
        <v>1159</v>
      </c>
      <c r="C391" s="15" t="s">
        <v>1160</v>
      </c>
      <c r="D391" s="15" t="s">
        <v>1161</v>
      </c>
      <c r="E391" s="16">
        <v>20</v>
      </c>
      <c r="F391" s="16">
        <v>20</v>
      </c>
      <c r="G391" s="16">
        <v>88</v>
      </c>
      <c r="H391" s="16">
        <v>86</v>
      </c>
      <c r="I391" s="16">
        <v>174</v>
      </c>
      <c r="J391" s="17">
        <v>6.0599999999999996E-6</v>
      </c>
      <c r="K391" s="6">
        <f t="shared" si="6"/>
        <v>1</v>
      </c>
    </row>
    <row r="392" spans="1:11" ht="332" customHeight="1" x14ac:dyDescent="0.15">
      <c r="A392" s="13">
        <v>1850</v>
      </c>
      <c r="B392" s="14" t="s">
        <v>1162</v>
      </c>
      <c r="C392" s="15" t="s">
        <v>1163</v>
      </c>
      <c r="D392" s="15" t="s">
        <v>1164</v>
      </c>
      <c r="E392" s="16">
        <v>208</v>
      </c>
      <c r="F392" s="16">
        <v>208</v>
      </c>
      <c r="G392" s="16">
        <v>116</v>
      </c>
      <c r="H392" s="16">
        <v>148</v>
      </c>
      <c r="I392" s="16">
        <v>264</v>
      </c>
      <c r="J392" s="17">
        <v>9.7200000000000001E-6</v>
      </c>
      <c r="K392" s="6">
        <f t="shared" si="6"/>
        <v>1</v>
      </c>
    </row>
    <row r="393" spans="1:11" ht="272" customHeight="1" x14ac:dyDescent="0.15">
      <c r="A393" s="13">
        <v>2907</v>
      </c>
      <c r="B393" s="14" t="s">
        <v>1165</v>
      </c>
      <c r="C393" s="15" t="s">
        <v>1166</v>
      </c>
      <c r="D393" s="15" t="s">
        <v>1167</v>
      </c>
      <c r="E393" s="16">
        <v>105</v>
      </c>
      <c r="F393" s="16">
        <v>105</v>
      </c>
      <c r="G393" s="16">
        <v>69</v>
      </c>
      <c r="H393" s="16">
        <v>109</v>
      </c>
      <c r="I393" s="16">
        <v>178</v>
      </c>
      <c r="J393" s="17">
        <v>6.8299999999999998E-6</v>
      </c>
      <c r="K393" s="6">
        <f t="shared" si="6"/>
        <v>1</v>
      </c>
    </row>
    <row r="394" spans="1:11" ht="284" customHeight="1" x14ac:dyDescent="0.15">
      <c r="A394" s="13">
        <v>7042</v>
      </c>
      <c r="B394" s="14" t="s">
        <v>1168</v>
      </c>
      <c r="C394" s="15" t="s">
        <v>1169</v>
      </c>
      <c r="D394" s="15" t="s">
        <v>1170</v>
      </c>
      <c r="E394" s="16">
        <v>35</v>
      </c>
      <c r="F394" s="16">
        <v>35</v>
      </c>
      <c r="G394" s="16">
        <v>70</v>
      </c>
      <c r="H394" s="16">
        <v>121</v>
      </c>
      <c r="I394" s="16">
        <v>191</v>
      </c>
      <c r="J394" s="17">
        <v>7.4499999999999998E-6</v>
      </c>
      <c r="K394" s="6">
        <f t="shared" si="6"/>
        <v>1</v>
      </c>
    </row>
    <row r="395" spans="1:11" ht="272" customHeight="1" x14ac:dyDescent="0.15">
      <c r="A395" s="13">
        <v>222</v>
      </c>
      <c r="B395" s="14" t="s">
        <v>1171</v>
      </c>
      <c r="C395" s="15" t="s">
        <v>1172</v>
      </c>
      <c r="D395" s="21" t="s">
        <v>1173</v>
      </c>
      <c r="E395" s="16">
        <v>59</v>
      </c>
      <c r="F395" s="16">
        <v>59</v>
      </c>
      <c r="G395" s="16">
        <v>95</v>
      </c>
      <c r="H395" s="16">
        <v>124</v>
      </c>
      <c r="I395" s="16">
        <v>219</v>
      </c>
      <c r="J395" s="19">
        <v>8.1000000000000004E-6</v>
      </c>
      <c r="K395" s="6">
        <f t="shared" si="6"/>
        <v>1</v>
      </c>
    </row>
    <row r="396" spans="1:11" ht="409.5" customHeight="1" x14ac:dyDescent="0.15">
      <c r="A396" s="13">
        <v>4518</v>
      </c>
      <c r="B396" s="14" t="s">
        <v>1174</v>
      </c>
      <c r="C396" s="15" t="s">
        <v>1175</v>
      </c>
      <c r="D396" s="15" t="s">
        <v>1176</v>
      </c>
      <c r="E396" s="16">
        <v>42</v>
      </c>
      <c r="F396" s="16">
        <v>42</v>
      </c>
      <c r="G396" s="16">
        <v>129</v>
      </c>
      <c r="H396" s="16">
        <v>252</v>
      </c>
      <c r="I396" s="16">
        <v>381</v>
      </c>
      <c r="J396" s="18">
        <v>1.2660000000000001E-5</v>
      </c>
      <c r="K396" s="6">
        <f t="shared" si="6"/>
        <v>1</v>
      </c>
    </row>
    <row r="397" spans="1:11" ht="368" customHeight="1" x14ac:dyDescent="0.15">
      <c r="A397" s="13">
        <v>3977</v>
      </c>
      <c r="B397" s="14" t="s">
        <v>1177</v>
      </c>
      <c r="C397" s="15" t="s">
        <v>1178</v>
      </c>
      <c r="D397" s="15" t="s">
        <v>1179</v>
      </c>
      <c r="E397" s="16">
        <v>162</v>
      </c>
      <c r="F397" s="16">
        <v>162</v>
      </c>
      <c r="G397" s="16">
        <v>103</v>
      </c>
      <c r="H397" s="16">
        <v>182</v>
      </c>
      <c r="I397" s="16">
        <v>285</v>
      </c>
      <c r="J397" s="18">
        <v>1.116E-5</v>
      </c>
      <c r="K397" s="6">
        <f t="shared" si="6"/>
        <v>1</v>
      </c>
    </row>
    <row r="398" spans="1:11" ht="380" customHeight="1" x14ac:dyDescent="0.15">
      <c r="A398" s="13">
        <v>2020</v>
      </c>
      <c r="B398" s="14" t="s">
        <v>1180</v>
      </c>
      <c r="C398" s="15" t="s">
        <v>1181</v>
      </c>
      <c r="D398" s="15" t="s">
        <v>1182</v>
      </c>
      <c r="E398" s="16">
        <v>240</v>
      </c>
      <c r="F398" s="16">
        <v>240</v>
      </c>
      <c r="G398" s="16">
        <v>70</v>
      </c>
      <c r="H398" s="16">
        <v>195</v>
      </c>
      <c r="I398" s="16">
        <v>265</v>
      </c>
      <c r="J398" s="19">
        <v>9.2E-6</v>
      </c>
      <c r="K398" s="6">
        <f t="shared" si="6"/>
        <v>1</v>
      </c>
    </row>
    <row r="399" spans="1:11" ht="332" customHeight="1" x14ac:dyDescent="0.15">
      <c r="A399" s="13">
        <v>642</v>
      </c>
      <c r="B399" s="14" t="s">
        <v>1183</v>
      </c>
      <c r="C399" s="15" t="s">
        <v>1184</v>
      </c>
      <c r="D399" s="15" t="s">
        <v>1185</v>
      </c>
      <c r="E399" s="16">
        <v>15</v>
      </c>
      <c r="F399" s="16">
        <v>15</v>
      </c>
      <c r="G399" s="16">
        <v>105</v>
      </c>
      <c r="H399" s="16">
        <v>131</v>
      </c>
      <c r="I399" s="16">
        <v>236</v>
      </c>
      <c r="J399" s="17">
        <v>7.34E-6</v>
      </c>
      <c r="K399" s="6">
        <f t="shared" si="6"/>
        <v>1</v>
      </c>
    </row>
    <row r="400" spans="1:11" ht="409.5" customHeight="1" x14ac:dyDescent="0.15">
      <c r="A400" s="13">
        <v>5099</v>
      </c>
      <c r="B400" s="14" t="s">
        <v>1186</v>
      </c>
      <c r="C400" s="15" t="s">
        <v>1187</v>
      </c>
      <c r="D400" s="15" t="s">
        <v>1188</v>
      </c>
      <c r="E400" s="16">
        <v>40</v>
      </c>
      <c r="F400" s="16">
        <v>40</v>
      </c>
      <c r="G400" s="16">
        <v>74</v>
      </c>
      <c r="H400" s="16">
        <v>257</v>
      </c>
      <c r="I400" s="16">
        <v>331</v>
      </c>
      <c r="J400" s="18">
        <v>1.1759999999999999E-5</v>
      </c>
      <c r="K400" s="6">
        <f t="shared" si="6"/>
        <v>1</v>
      </c>
    </row>
    <row r="401" spans="1:11" ht="272" customHeight="1" x14ac:dyDescent="0.15">
      <c r="A401" s="13">
        <v>6687</v>
      </c>
      <c r="B401" s="14" t="s">
        <v>1189</v>
      </c>
      <c r="C401" s="15" t="s">
        <v>1190</v>
      </c>
      <c r="D401" s="15" t="s">
        <v>1191</v>
      </c>
      <c r="E401" s="16">
        <v>2</v>
      </c>
      <c r="F401" s="16">
        <v>2</v>
      </c>
      <c r="G401" s="16">
        <v>99</v>
      </c>
      <c r="H401" s="16">
        <v>120</v>
      </c>
      <c r="I401" s="16">
        <v>219</v>
      </c>
      <c r="J401" s="18">
        <v>1.455E-5</v>
      </c>
      <c r="K401" s="6">
        <f t="shared" si="6"/>
        <v>1</v>
      </c>
    </row>
    <row r="402" spans="1:11" ht="260" customHeight="1" x14ac:dyDescent="0.15">
      <c r="A402" s="13">
        <v>3025</v>
      </c>
      <c r="B402" s="14" t="s">
        <v>1192</v>
      </c>
      <c r="C402" s="15" t="s">
        <v>1193</v>
      </c>
      <c r="D402" s="15" t="s">
        <v>1194</v>
      </c>
      <c r="E402" s="16">
        <v>96</v>
      </c>
      <c r="F402" s="16">
        <v>96</v>
      </c>
      <c r="G402" s="16">
        <v>93</v>
      </c>
      <c r="H402" s="16">
        <v>117</v>
      </c>
      <c r="I402" s="16">
        <v>210</v>
      </c>
      <c r="J402" s="17">
        <v>6.5400000000000001E-6</v>
      </c>
      <c r="K402" s="6">
        <f t="shared" si="6"/>
        <v>1</v>
      </c>
    </row>
    <row r="403" spans="1:11" ht="409.5" customHeight="1" x14ac:dyDescent="0.15">
      <c r="A403" s="13">
        <v>2273</v>
      </c>
      <c r="B403" s="14" t="s">
        <v>1195</v>
      </c>
      <c r="C403" s="15" t="s">
        <v>1196</v>
      </c>
      <c r="D403" s="15" t="s">
        <v>1197</v>
      </c>
      <c r="E403" s="16">
        <v>15890</v>
      </c>
      <c r="F403" s="16">
        <v>15890</v>
      </c>
      <c r="G403" s="16">
        <v>98</v>
      </c>
      <c r="H403" s="16">
        <v>232</v>
      </c>
      <c r="I403" s="16">
        <v>330</v>
      </c>
      <c r="J403" s="18">
        <v>1.1240000000000001E-5</v>
      </c>
      <c r="K403" s="6">
        <f t="shared" si="6"/>
        <v>1</v>
      </c>
    </row>
    <row r="404" spans="1:11" ht="176" customHeight="1" x14ac:dyDescent="0.15">
      <c r="A404" s="13">
        <v>6329</v>
      </c>
      <c r="B404" s="14" t="s">
        <v>1198</v>
      </c>
      <c r="C404" s="15" t="s">
        <v>1199</v>
      </c>
      <c r="D404" s="15" t="s">
        <v>1200</v>
      </c>
      <c r="E404" s="16">
        <v>22</v>
      </c>
      <c r="F404" s="16">
        <v>22</v>
      </c>
      <c r="G404" s="16">
        <v>69</v>
      </c>
      <c r="H404" s="16">
        <v>86</v>
      </c>
      <c r="I404" s="16">
        <v>155</v>
      </c>
      <c r="J404" s="17">
        <v>4.8199999999999996E-6</v>
      </c>
      <c r="K404" s="6">
        <f t="shared" si="6"/>
        <v>1</v>
      </c>
    </row>
    <row r="405" spans="1:11" ht="284" customHeight="1" x14ac:dyDescent="0.15">
      <c r="A405" s="13">
        <v>1041</v>
      </c>
      <c r="B405" s="14" t="s">
        <v>1201</v>
      </c>
      <c r="C405" s="15" t="s">
        <v>1202</v>
      </c>
      <c r="D405" s="15" t="s">
        <v>1203</v>
      </c>
      <c r="E405" s="16">
        <v>130</v>
      </c>
      <c r="F405" s="16">
        <v>130</v>
      </c>
      <c r="G405" s="16">
        <v>92</v>
      </c>
      <c r="H405" s="16">
        <v>112</v>
      </c>
      <c r="I405" s="16">
        <v>204</v>
      </c>
      <c r="J405" s="18">
        <v>1.3560000000000001E-5</v>
      </c>
      <c r="K405" s="6">
        <f t="shared" si="6"/>
        <v>1</v>
      </c>
    </row>
    <row r="406" spans="1:11" ht="236" customHeight="1" x14ac:dyDescent="0.15">
      <c r="A406" s="13">
        <v>6507</v>
      </c>
      <c r="B406" s="14" t="s">
        <v>1204</v>
      </c>
      <c r="C406" s="15" t="s">
        <v>1205</v>
      </c>
      <c r="D406" s="21" t="s">
        <v>1506</v>
      </c>
      <c r="E406" s="16">
        <v>250</v>
      </c>
      <c r="F406" s="16">
        <v>245</v>
      </c>
      <c r="G406" s="16">
        <v>87</v>
      </c>
      <c r="H406" s="16">
        <v>113</v>
      </c>
      <c r="I406" s="16">
        <v>200</v>
      </c>
      <c r="J406" s="17">
        <v>6.2600000000000002E-6</v>
      </c>
      <c r="K406" s="6">
        <f t="shared" si="6"/>
        <v>0</v>
      </c>
    </row>
    <row r="407" spans="1:11" ht="392" customHeight="1" x14ac:dyDescent="0.15">
      <c r="A407" s="13">
        <v>7417</v>
      </c>
      <c r="B407" s="14" t="s">
        <v>1206</v>
      </c>
      <c r="C407" s="15" t="s">
        <v>1207</v>
      </c>
      <c r="D407" s="15" t="s">
        <v>1208</v>
      </c>
      <c r="E407" s="16">
        <v>170</v>
      </c>
      <c r="F407" s="16">
        <v>170</v>
      </c>
      <c r="G407" s="16">
        <v>114</v>
      </c>
      <c r="H407" s="16">
        <v>173</v>
      </c>
      <c r="I407" s="16">
        <v>287</v>
      </c>
      <c r="J407" s="19">
        <v>9.2E-6</v>
      </c>
      <c r="K407" s="6">
        <f t="shared" si="6"/>
        <v>1</v>
      </c>
    </row>
    <row r="408" spans="1:11" ht="296" customHeight="1" x14ac:dyDescent="0.15">
      <c r="A408" s="13">
        <v>2299</v>
      </c>
      <c r="B408" s="14" t="s">
        <v>1209</v>
      </c>
      <c r="C408" s="15" t="s">
        <v>1210</v>
      </c>
      <c r="D408" s="15" t="s">
        <v>1211</v>
      </c>
      <c r="E408" s="16">
        <v>40</v>
      </c>
      <c r="F408" s="16">
        <v>40</v>
      </c>
      <c r="G408" s="16">
        <v>102</v>
      </c>
      <c r="H408" s="16">
        <v>151</v>
      </c>
      <c r="I408" s="16">
        <v>253</v>
      </c>
      <c r="J408" s="18">
        <v>1.7180000000000002E-5</v>
      </c>
      <c r="K408" s="6">
        <f t="shared" si="6"/>
        <v>1</v>
      </c>
    </row>
    <row r="409" spans="1:11" ht="296" customHeight="1" x14ac:dyDescent="0.15">
      <c r="A409" s="13">
        <v>3653</v>
      </c>
      <c r="B409" s="14" t="s">
        <v>1212</v>
      </c>
      <c r="C409" s="15" t="s">
        <v>1213</v>
      </c>
      <c r="D409" s="15" t="s">
        <v>1214</v>
      </c>
      <c r="E409" s="16">
        <v>25</v>
      </c>
      <c r="F409" s="16">
        <v>25</v>
      </c>
      <c r="G409" s="16">
        <v>88</v>
      </c>
      <c r="H409" s="16">
        <v>105</v>
      </c>
      <c r="I409" s="16">
        <v>193</v>
      </c>
      <c r="J409" s="17">
        <v>5.9599999999999997E-6</v>
      </c>
      <c r="K409" s="6">
        <f t="shared" si="6"/>
        <v>1</v>
      </c>
    </row>
    <row r="410" spans="1:11" ht="344" customHeight="1" x14ac:dyDescent="0.15">
      <c r="A410" s="13">
        <v>3881</v>
      </c>
      <c r="B410" s="14" t="s">
        <v>1215</v>
      </c>
      <c r="C410" s="15" t="s">
        <v>1216</v>
      </c>
      <c r="D410" s="15" t="s">
        <v>1217</v>
      </c>
      <c r="E410" s="16">
        <v>16</v>
      </c>
      <c r="F410" s="16">
        <v>16</v>
      </c>
      <c r="G410" s="16">
        <v>144</v>
      </c>
      <c r="H410" s="16">
        <v>163</v>
      </c>
      <c r="I410" s="16">
        <v>307</v>
      </c>
      <c r="J410" s="19">
        <v>9.3999999999999998E-6</v>
      </c>
      <c r="K410" s="6">
        <f t="shared" si="6"/>
        <v>1</v>
      </c>
    </row>
    <row r="411" spans="1:11" ht="332" customHeight="1" x14ac:dyDescent="0.15">
      <c r="A411" s="13">
        <v>3721</v>
      </c>
      <c r="B411" s="14" t="s">
        <v>1218</v>
      </c>
      <c r="C411" s="15" t="s">
        <v>1219</v>
      </c>
      <c r="D411" s="15" t="s">
        <v>1220</v>
      </c>
      <c r="E411" s="16">
        <v>3</v>
      </c>
      <c r="F411" s="16">
        <v>3</v>
      </c>
      <c r="G411" s="16">
        <v>112</v>
      </c>
      <c r="H411" s="16">
        <v>159</v>
      </c>
      <c r="I411" s="16">
        <v>271</v>
      </c>
      <c r="J411" s="19">
        <v>8.6000000000000007E-6</v>
      </c>
      <c r="K411" s="6">
        <f t="shared" si="6"/>
        <v>1</v>
      </c>
    </row>
    <row r="412" spans="1:11" ht="320" customHeight="1" x14ac:dyDescent="0.15">
      <c r="A412" s="13">
        <v>7266</v>
      </c>
      <c r="B412" s="14" t="s">
        <v>1221</v>
      </c>
      <c r="C412" s="15" t="s">
        <v>1222</v>
      </c>
      <c r="D412" s="15" t="s">
        <v>1223</v>
      </c>
      <c r="E412" s="16">
        <v>192</v>
      </c>
      <c r="F412" s="16">
        <v>192</v>
      </c>
      <c r="G412" s="16">
        <v>112</v>
      </c>
      <c r="H412" s="16">
        <v>144</v>
      </c>
      <c r="I412" s="16">
        <v>256</v>
      </c>
      <c r="J412" s="17">
        <v>9.4399999999999994E-6</v>
      </c>
      <c r="K412" s="6">
        <f t="shared" si="6"/>
        <v>1</v>
      </c>
    </row>
    <row r="413" spans="1:11" ht="284" customHeight="1" x14ac:dyDescent="0.15">
      <c r="A413" s="13">
        <v>6434</v>
      </c>
      <c r="B413" s="14" t="s">
        <v>1224</v>
      </c>
      <c r="C413" s="15" t="s">
        <v>1225</v>
      </c>
      <c r="D413" s="15" t="s">
        <v>1226</v>
      </c>
      <c r="E413" s="16">
        <v>4</v>
      </c>
      <c r="F413" s="16">
        <v>4</v>
      </c>
      <c r="G413" s="16">
        <v>92</v>
      </c>
      <c r="H413" s="16">
        <v>153</v>
      </c>
      <c r="I413" s="16">
        <v>245</v>
      </c>
      <c r="J413" s="17">
        <v>7.96E-6</v>
      </c>
      <c r="K413" s="6">
        <f t="shared" si="6"/>
        <v>1</v>
      </c>
    </row>
    <row r="414" spans="1:11" ht="248" customHeight="1" x14ac:dyDescent="0.15">
      <c r="A414" s="13">
        <v>1078</v>
      </c>
      <c r="B414" s="14" t="s">
        <v>1227</v>
      </c>
      <c r="C414" s="15" t="s">
        <v>1228</v>
      </c>
      <c r="D414" s="15" t="s">
        <v>1229</v>
      </c>
      <c r="E414" s="16">
        <v>65</v>
      </c>
      <c r="F414" s="16">
        <v>65</v>
      </c>
      <c r="G414" s="16">
        <v>84</v>
      </c>
      <c r="H414" s="16">
        <v>117</v>
      </c>
      <c r="I414" s="16">
        <v>201</v>
      </c>
      <c r="J414" s="17">
        <v>6.3600000000000001E-6</v>
      </c>
      <c r="K414" s="6">
        <f t="shared" si="6"/>
        <v>1</v>
      </c>
    </row>
    <row r="415" spans="1:11" ht="284" customHeight="1" x14ac:dyDescent="0.15">
      <c r="A415" s="13">
        <v>6074</v>
      </c>
      <c r="B415" s="14" t="s">
        <v>1230</v>
      </c>
      <c r="C415" s="15" t="s">
        <v>1231</v>
      </c>
      <c r="D415" s="15" t="s">
        <v>1232</v>
      </c>
      <c r="E415" s="16">
        <v>245</v>
      </c>
      <c r="F415" s="16">
        <v>245</v>
      </c>
      <c r="G415" s="16">
        <v>123</v>
      </c>
      <c r="H415" s="16">
        <v>128</v>
      </c>
      <c r="I415" s="16">
        <v>251</v>
      </c>
      <c r="J415" s="17">
        <v>7.5800000000000003E-6</v>
      </c>
      <c r="K415" s="6">
        <f t="shared" si="6"/>
        <v>1</v>
      </c>
    </row>
    <row r="416" spans="1:11" ht="296" customHeight="1" x14ac:dyDescent="0.15">
      <c r="A416" s="13">
        <v>5206</v>
      </c>
      <c r="B416" s="14" t="s">
        <v>1233</v>
      </c>
      <c r="C416" s="15" t="s">
        <v>1234</v>
      </c>
      <c r="D416" s="15" t="s">
        <v>1235</v>
      </c>
      <c r="E416" s="16">
        <v>90</v>
      </c>
      <c r="F416" s="16">
        <v>90</v>
      </c>
      <c r="G416" s="16">
        <v>120</v>
      </c>
      <c r="H416" s="16">
        <v>142</v>
      </c>
      <c r="I416" s="16">
        <v>262</v>
      </c>
      <c r="J416" s="17">
        <v>8.0800000000000006E-6</v>
      </c>
      <c r="K416" s="6">
        <f t="shared" si="6"/>
        <v>1</v>
      </c>
    </row>
    <row r="417" spans="1:11" ht="260" customHeight="1" x14ac:dyDescent="0.15">
      <c r="A417" s="13">
        <v>994</v>
      </c>
      <c r="B417" s="14" t="s">
        <v>1236</v>
      </c>
      <c r="C417" s="15" t="s">
        <v>1237</v>
      </c>
      <c r="D417" s="15" t="s">
        <v>1238</v>
      </c>
      <c r="E417" s="16">
        <v>11</v>
      </c>
      <c r="F417" s="16">
        <v>11</v>
      </c>
      <c r="G417" s="16">
        <v>116</v>
      </c>
      <c r="H417" s="16">
        <v>140</v>
      </c>
      <c r="I417" s="16">
        <v>256</v>
      </c>
      <c r="J417" s="17">
        <v>7.9200000000000004E-6</v>
      </c>
      <c r="K417" s="6">
        <f t="shared" si="6"/>
        <v>1</v>
      </c>
    </row>
    <row r="418" spans="1:11" ht="392" customHeight="1" x14ac:dyDescent="0.15">
      <c r="A418" s="13">
        <v>3995</v>
      </c>
      <c r="B418" s="14" t="s">
        <v>1239</v>
      </c>
      <c r="C418" s="15" t="s">
        <v>1240</v>
      </c>
      <c r="D418" s="15" t="s">
        <v>1241</v>
      </c>
      <c r="E418" s="16">
        <v>96</v>
      </c>
      <c r="F418" s="16">
        <v>96</v>
      </c>
      <c r="G418" s="16">
        <v>83</v>
      </c>
      <c r="H418" s="16">
        <v>175</v>
      </c>
      <c r="I418" s="16">
        <v>258</v>
      </c>
      <c r="J418" s="17">
        <v>8.6600000000000001E-6</v>
      </c>
      <c r="K418" s="6">
        <f t="shared" si="6"/>
        <v>1</v>
      </c>
    </row>
    <row r="419" spans="1:11" ht="380" customHeight="1" x14ac:dyDescent="0.15">
      <c r="A419" s="13">
        <v>1074</v>
      </c>
      <c r="B419" s="14" t="s">
        <v>1242</v>
      </c>
      <c r="C419" s="15" t="s">
        <v>1243</v>
      </c>
      <c r="D419" s="15" t="s">
        <v>1244</v>
      </c>
      <c r="E419" s="16">
        <v>50</v>
      </c>
      <c r="F419" s="16">
        <v>50</v>
      </c>
      <c r="G419" s="16">
        <v>96</v>
      </c>
      <c r="H419" s="16">
        <v>187</v>
      </c>
      <c r="I419" s="16">
        <v>283</v>
      </c>
      <c r="J419" s="18">
        <v>1.9760000000000001E-5</v>
      </c>
      <c r="K419" s="6">
        <f t="shared" si="6"/>
        <v>1</v>
      </c>
    </row>
    <row r="420" spans="1:11" ht="284" customHeight="1" x14ac:dyDescent="0.15">
      <c r="A420" s="13">
        <v>5380</v>
      </c>
      <c r="B420" s="14" t="s">
        <v>1245</v>
      </c>
      <c r="C420" s="15" t="s">
        <v>1246</v>
      </c>
      <c r="D420" s="15" t="s">
        <v>1247</v>
      </c>
      <c r="E420" s="16">
        <v>7</v>
      </c>
      <c r="F420" s="16">
        <v>7</v>
      </c>
      <c r="G420" s="16">
        <v>80</v>
      </c>
      <c r="H420" s="16">
        <v>119</v>
      </c>
      <c r="I420" s="16">
        <v>199</v>
      </c>
      <c r="J420" s="17">
        <v>6.3600000000000001E-6</v>
      </c>
      <c r="K420" s="6">
        <f t="shared" si="6"/>
        <v>1</v>
      </c>
    </row>
    <row r="421" spans="1:11" ht="272" customHeight="1" x14ac:dyDescent="0.15">
      <c r="A421" s="13">
        <v>5546</v>
      </c>
      <c r="B421" s="14" t="s">
        <v>1248</v>
      </c>
      <c r="C421" s="15" t="s">
        <v>1249</v>
      </c>
      <c r="D421" s="15" t="s">
        <v>1250</v>
      </c>
      <c r="E421" s="16">
        <v>130</v>
      </c>
      <c r="F421" s="16">
        <v>130</v>
      </c>
      <c r="G421" s="16">
        <v>67</v>
      </c>
      <c r="H421" s="16">
        <v>136</v>
      </c>
      <c r="I421" s="16">
        <v>203</v>
      </c>
      <c r="J421" s="17">
        <v>6.7800000000000003E-6</v>
      </c>
      <c r="K421" s="6">
        <f t="shared" si="6"/>
        <v>1</v>
      </c>
    </row>
    <row r="422" spans="1:11" ht="356" customHeight="1" x14ac:dyDescent="0.15">
      <c r="A422" s="13">
        <v>3790</v>
      </c>
      <c r="B422" s="14" t="s">
        <v>1251</v>
      </c>
      <c r="C422" s="15" t="s">
        <v>1252</v>
      </c>
      <c r="D422" s="15" t="s">
        <v>1253</v>
      </c>
      <c r="E422" s="16">
        <v>100</v>
      </c>
      <c r="F422" s="16">
        <v>100</v>
      </c>
      <c r="G422" s="16">
        <v>97</v>
      </c>
      <c r="H422" s="16">
        <v>154</v>
      </c>
      <c r="I422" s="16">
        <v>251</v>
      </c>
      <c r="J422" s="19">
        <v>8.1000000000000004E-6</v>
      </c>
      <c r="K422" s="6">
        <f t="shared" si="6"/>
        <v>1</v>
      </c>
    </row>
    <row r="423" spans="1:11" ht="332" customHeight="1" x14ac:dyDescent="0.15">
      <c r="A423" s="13">
        <v>4019</v>
      </c>
      <c r="B423" s="14" t="s">
        <v>1254</v>
      </c>
      <c r="C423" s="15" t="s">
        <v>1255</v>
      </c>
      <c r="D423" s="15" t="s">
        <v>1256</v>
      </c>
      <c r="E423" s="16">
        <v>10</v>
      </c>
      <c r="F423" s="16">
        <v>10</v>
      </c>
      <c r="G423" s="16">
        <v>89</v>
      </c>
      <c r="H423" s="16">
        <v>170</v>
      </c>
      <c r="I423" s="16">
        <v>259</v>
      </c>
      <c r="J423" s="17">
        <v>8.5799999999999992E-6</v>
      </c>
      <c r="K423" s="6">
        <f t="shared" si="6"/>
        <v>1</v>
      </c>
    </row>
    <row r="424" spans="1:11" ht="356" customHeight="1" x14ac:dyDescent="0.15">
      <c r="A424" s="13">
        <v>2614</v>
      </c>
      <c r="B424" s="14" t="s">
        <v>1257</v>
      </c>
      <c r="C424" s="15" t="s">
        <v>1258</v>
      </c>
      <c r="D424" s="15" t="s">
        <v>1259</v>
      </c>
      <c r="E424" s="16">
        <v>3</v>
      </c>
      <c r="F424" s="16">
        <v>3</v>
      </c>
      <c r="G424" s="16">
        <v>138</v>
      </c>
      <c r="H424" s="16">
        <v>200</v>
      </c>
      <c r="I424" s="16">
        <v>338</v>
      </c>
      <c r="J424" s="18">
        <v>1.276E-5</v>
      </c>
      <c r="K424" s="6">
        <f t="shared" si="6"/>
        <v>1</v>
      </c>
    </row>
    <row r="425" spans="1:11" ht="356" customHeight="1" x14ac:dyDescent="0.15">
      <c r="A425" s="13">
        <v>2245</v>
      </c>
      <c r="B425" s="14" t="s">
        <v>1260</v>
      </c>
      <c r="C425" s="15" t="s">
        <v>1261</v>
      </c>
      <c r="D425" s="21" t="s">
        <v>1505</v>
      </c>
      <c r="E425" s="16">
        <v>160</v>
      </c>
      <c r="F425" s="16">
        <v>148</v>
      </c>
      <c r="G425" s="16">
        <v>96</v>
      </c>
      <c r="H425" s="16">
        <v>163</v>
      </c>
      <c r="I425" s="16">
        <v>259</v>
      </c>
      <c r="J425" s="17">
        <v>8.4400000000000005E-6</v>
      </c>
      <c r="K425" s="6">
        <f t="shared" si="6"/>
        <v>0</v>
      </c>
    </row>
    <row r="426" spans="1:11" ht="260" customHeight="1" x14ac:dyDescent="0.15">
      <c r="A426" s="13">
        <v>5792</v>
      </c>
      <c r="B426" s="14" t="s">
        <v>1262</v>
      </c>
      <c r="C426" s="15" t="s">
        <v>1263</v>
      </c>
      <c r="D426" s="15" t="s">
        <v>1264</v>
      </c>
      <c r="E426" s="16">
        <v>22</v>
      </c>
      <c r="F426" s="16">
        <v>22</v>
      </c>
      <c r="G426" s="16">
        <v>73</v>
      </c>
      <c r="H426" s="16">
        <v>96</v>
      </c>
      <c r="I426" s="16">
        <v>169</v>
      </c>
      <c r="J426" s="17">
        <v>6.2600000000000002E-6</v>
      </c>
      <c r="K426" s="6">
        <f t="shared" si="6"/>
        <v>1</v>
      </c>
    </row>
    <row r="427" spans="1:11" ht="224" customHeight="1" x14ac:dyDescent="0.15">
      <c r="A427" s="13">
        <v>3765</v>
      </c>
      <c r="B427" s="14" t="s">
        <v>1265</v>
      </c>
      <c r="C427" s="15" t="s">
        <v>1266</v>
      </c>
      <c r="D427" s="15" t="s">
        <v>1267</v>
      </c>
      <c r="E427" s="16">
        <v>110</v>
      </c>
      <c r="F427" s="16">
        <v>110</v>
      </c>
      <c r="G427" s="16">
        <v>77</v>
      </c>
      <c r="H427" s="16">
        <v>95</v>
      </c>
      <c r="I427" s="16">
        <v>172</v>
      </c>
      <c r="J427" s="17">
        <v>5.3399999999999997E-6</v>
      </c>
      <c r="K427" s="6">
        <f t="shared" si="6"/>
        <v>1</v>
      </c>
    </row>
    <row r="428" spans="1:11" ht="248" customHeight="1" x14ac:dyDescent="0.15">
      <c r="A428" s="13">
        <v>5840</v>
      </c>
      <c r="B428" s="14" t="s">
        <v>1268</v>
      </c>
      <c r="C428" s="15" t="s">
        <v>1269</v>
      </c>
      <c r="D428" s="15" t="s">
        <v>1270</v>
      </c>
      <c r="E428" s="16">
        <v>800</v>
      </c>
      <c r="F428" s="16">
        <v>800</v>
      </c>
      <c r="G428" s="16">
        <v>87</v>
      </c>
      <c r="H428" s="16">
        <v>118</v>
      </c>
      <c r="I428" s="16">
        <v>205</v>
      </c>
      <c r="J428" s="17">
        <v>7.6399999999999997E-6</v>
      </c>
      <c r="K428" s="6">
        <f t="shared" si="6"/>
        <v>1</v>
      </c>
    </row>
    <row r="429" spans="1:11" ht="236" customHeight="1" x14ac:dyDescent="0.15">
      <c r="A429" s="13">
        <v>3164</v>
      </c>
      <c r="B429" s="14" t="s">
        <v>1271</v>
      </c>
      <c r="C429" s="15" t="s">
        <v>1272</v>
      </c>
      <c r="D429" s="15" t="s">
        <v>1273</v>
      </c>
      <c r="E429" s="16">
        <v>450</v>
      </c>
      <c r="F429" s="16">
        <v>450</v>
      </c>
      <c r="G429" s="16">
        <v>85</v>
      </c>
      <c r="H429" s="16">
        <v>110</v>
      </c>
      <c r="I429" s="16">
        <v>195</v>
      </c>
      <c r="J429" s="19">
        <v>6.1E-6</v>
      </c>
      <c r="K429" s="6">
        <f t="shared" si="6"/>
        <v>1</v>
      </c>
    </row>
    <row r="430" spans="1:11" ht="409.5" customHeight="1" x14ac:dyDescent="0.15">
      <c r="A430" s="13">
        <v>1566</v>
      </c>
      <c r="B430" s="14" t="s">
        <v>1274</v>
      </c>
      <c r="C430" s="15" t="s">
        <v>1275</v>
      </c>
      <c r="D430" s="21" t="s">
        <v>1276</v>
      </c>
      <c r="E430" s="16">
        <v>457</v>
      </c>
      <c r="F430" s="16">
        <v>300</v>
      </c>
      <c r="G430" s="16">
        <v>95</v>
      </c>
      <c r="H430" s="16">
        <v>336</v>
      </c>
      <c r="I430" s="16">
        <v>431</v>
      </c>
      <c r="J430" s="18">
        <v>1.5339999999999999E-5</v>
      </c>
      <c r="K430" s="6">
        <f t="shared" si="6"/>
        <v>0</v>
      </c>
    </row>
    <row r="431" spans="1:11" ht="332" customHeight="1" x14ac:dyDescent="0.15">
      <c r="A431" s="13">
        <v>3121</v>
      </c>
      <c r="B431" s="14" t="s">
        <v>1277</v>
      </c>
      <c r="C431" s="15" t="s">
        <v>1278</v>
      </c>
      <c r="D431" s="15" t="s">
        <v>1279</v>
      </c>
      <c r="E431" s="16">
        <v>5</v>
      </c>
      <c r="F431" s="16">
        <v>5</v>
      </c>
      <c r="G431" s="16">
        <v>74</v>
      </c>
      <c r="H431" s="16">
        <v>164</v>
      </c>
      <c r="I431" s="16">
        <v>238</v>
      </c>
      <c r="J431" s="17">
        <v>8.0399999999999993E-6</v>
      </c>
      <c r="K431" s="6">
        <f t="shared" si="6"/>
        <v>1</v>
      </c>
    </row>
    <row r="432" spans="1:11" ht="272" customHeight="1" x14ac:dyDescent="0.15">
      <c r="A432" s="13">
        <v>1832</v>
      </c>
      <c r="B432" s="14" t="s">
        <v>1280</v>
      </c>
      <c r="C432" s="15" t="s">
        <v>1281</v>
      </c>
      <c r="D432" s="15" t="s">
        <v>1282</v>
      </c>
      <c r="E432" s="16">
        <v>30</v>
      </c>
      <c r="F432" s="16">
        <v>30</v>
      </c>
      <c r="G432" s="16">
        <v>113</v>
      </c>
      <c r="H432" s="16">
        <v>141</v>
      </c>
      <c r="I432" s="16">
        <v>254</v>
      </c>
      <c r="J432" s="19">
        <v>7.9000000000000006E-6</v>
      </c>
      <c r="K432" s="6">
        <f t="shared" si="6"/>
        <v>1</v>
      </c>
    </row>
    <row r="433" spans="1:11" ht="284" customHeight="1" x14ac:dyDescent="0.15">
      <c r="A433" s="13">
        <v>2431</v>
      </c>
      <c r="B433" s="14" t="s">
        <v>1283</v>
      </c>
      <c r="C433" s="15" t="s">
        <v>1284</v>
      </c>
      <c r="D433" s="15" t="s">
        <v>1285</v>
      </c>
      <c r="E433" s="16">
        <v>14</v>
      </c>
      <c r="F433" s="16">
        <v>14</v>
      </c>
      <c r="G433" s="16">
        <v>79</v>
      </c>
      <c r="H433" s="16">
        <v>154</v>
      </c>
      <c r="I433" s="16">
        <v>233</v>
      </c>
      <c r="J433" s="17">
        <v>7.7400000000000004E-6</v>
      </c>
      <c r="K433" s="6">
        <f t="shared" si="6"/>
        <v>1</v>
      </c>
    </row>
    <row r="434" spans="1:11" ht="344" customHeight="1" x14ac:dyDescent="0.15">
      <c r="A434" s="13">
        <v>2110</v>
      </c>
      <c r="B434" s="14" t="s">
        <v>1286</v>
      </c>
      <c r="C434" s="15" t="s">
        <v>1287</v>
      </c>
      <c r="D434" s="15" t="s">
        <v>1288</v>
      </c>
      <c r="E434" s="16">
        <v>8</v>
      </c>
      <c r="F434" s="16">
        <v>8</v>
      </c>
      <c r="G434" s="16">
        <v>110</v>
      </c>
      <c r="H434" s="16">
        <v>183</v>
      </c>
      <c r="I434" s="16">
        <v>293</v>
      </c>
      <c r="J434" s="17">
        <v>9.5200000000000003E-6</v>
      </c>
      <c r="K434" s="6">
        <f t="shared" si="6"/>
        <v>1</v>
      </c>
    </row>
    <row r="435" spans="1:11" ht="409.5" customHeight="1" x14ac:dyDescent="0.15">
      <c r="A435" s="13">
        <v>5485</v>
      </c>
      <c r="B435" s="14" t="s">
        <v>1289</v>
      </c>
      <c r="C435" s="15" t="s">
        <v>1290</v>
      </c>
      <c r="D435" s="15" t="s">
        <v>1291</v>
      </c>
      <c r="E435" s="16">
        <v>13000</v>
      </c>
      <c r="F435" s="16">
        <v>13000</v>
      </c>
      <c r="G435" s="16">
        <v>114</v>
      </c>
      <c r="H435" s="16">
        <v>205</v>
      </c>
      <c r="I435" s="16">
        <v>319</v>
      </c>
      <c r="J435" s="18">
        <v>1.253E-5</v>
      </c>
      <c r="K435" s="6">
        <f t="shared" si="6"/>
        <v>1</v>
      </c>
    </row>
    <row r="436" spans="1:11" ht="272" customHeight="1" x14ac:dyDescent="0.15">
      <c r="A436" s="13">
        <v>6690</v>
      </c>
      <c r="B436" s="14" t="s">
        <v>1292</v>
      </c>
      <c r="C436" s="15" t="s">
        <v>1293</v>
      </c>
      <c r="D436" s="15" t="s">
        <v>1294</v>
      </c>
      <c r="E436" s="16">
        <v>175</v>
      </c>
      <c r="F436" s="16">
        <v>25</v>
      </c>
      <c r="G436" s="16">
        <v>111</v>
      </c>
      <c r="H436" s="16">
        <v>142</v>
      </c>
      <c r="I436" s="16">
        <v>253</v>
      </c>
      <c r="J436" s="19">
        <v>7.9000000000000006E-6</v>
      </c>
      <c r="K436" s="6">
        <f t="shared" si="6"/>
        <v>0</v>
      </c>
    </row>
    <row r="437" spans="1:11" ht="248" customHeight="1" x14ac:dyDescent="0.15">
      <c r="A437" s="13">
        <v>7366</v>
      </c>
      <c r="B437" s="14" t="s">
        <v>1295</v>
      </c>
      <c r="C437" s="15" t="s">
        <v>1296</v>
      </c>
      <c r="D437" s="15" t="s">
        <v>1297</v>
      </c>
      <c r="E437" s="16">
        <v>240</v>
      </c>
      <c r="F437" s="16">
        <v>240</v>
      </c>
      <c r="G437" s="16">
        <v>74</v>
      </c>
      <c r="H437" s="16">
        <v>100</v>
      </c>
      <c r="I437" s="16">
        <v>174</v>
      </c>
      <c r="J437" s="17">
        <v>6.4799999999999998E-6</v>
      </c>
      <c r="K437" s="6">
        <f t="shared" si="6"/>
        <v>1</v>
      </c>
    </row>
    <row r="438" spans="1:11" ht="409.5" customHeight="1" x14ac:dyDescent="0.15">
      <c r="A438" s="13">
        <v>6282</v>
      </c>
      <c r="B438" s="14" t="s">
        <v>1298</v>
      </c>
      <c r="C438" s="15" t="s">
        <v>1299</v>
      </c>
      <c r="D438" s="15" t="s">
        <v>1300</v>
      </c>
      <c r="E438" s="16">
        <v>12</v>
      </c>
      <c r="F438" s="16">
        <v>21</v>
      </c>
      <c r="G438" s="16">
        <v>190</v>
      </c>
      <c r="H438" s="16">
        <v>289</v>
      </c>
      <c r="I438" s="16">
        <v>479</v>
      </c>
      <c r="J438" s="18">
        <v>1.5359999999999999E-5</v>
      </c>
      <c r="K438" s="6">
        <f t="shared" si="6"/>
        <v>0</v>
      </c>
    </row>
    <row r="439" spans="1:11" ht="409.5" customHeight="1" x14ac:dyDescent="0.15">
      <c r="A439" s="13">
        <v>5317</v>
      </c>
      <c r="B439" s="14" t="s">
        <v>1301</v>
      </c>
      <c r="C439" s="15" t="s">
        <v>1302</v>
      </c>
      <c r="D439" s="15" t="s">
        <v>1303</v>
      </c>
      <c r="E439" s="16">
        <v>64</v>
      </c>
      <c r="F439" s="16">
        <v>48</v>
      </c>
      <c r="G439" s="16">
        <v>141</v>
      </c>
      <c r="H439" s="16">
        <v>216</v>
      </c>
      <c r="I439" s="16">
        <v>357</v>
      </c>
      <c r="J439" s="18">
        <v>1.146E-5</v>
      </c>
      <c r="K439" s="6">
        <f t="shared" si="6"/>
        <v>0</v>
      </c>
    </row>
    <row r="440" spans="1:11" ht="368" customHeight="1" x14ac:dyDescent="0.15">
      <c r="A440" s="13">
        <v>6406</v>
      </c>
      <c r="B440" s="14" t="s">
        <v>1304</v>
      </c>
      <c r="C440" s="15" t="s">
        <v>1305</v>
      </c>
      <c r="D440" s="15" t="s">
        <v>1306</v>
      </c>
      <c r="E440" s="16">
        <v>35</v>
      </c>
      <c r="F440" s="16">
        <v>35</v>
      </c>
      <c r="G440" s="16">
        <v>117</v>
      </c>
      <c r="H440" s="16">
        <v>171</v>
      </c>
      <c r="I440" s="16">
        <v>288</v>
      </c>
      <c r="J440" s="18">
        <v>1.9530000000000001E-5</v>
      </c>
      <c r="K440" s="6">
        <f t="shared" si="6"/>
        <v>1</v>
      </c>
    </row>
    <row r="441" spans="1:11" ht="308" customHeight="1" x14ac:dyDescent="0.15">
      <c r="A441" s="13">
        <v>5950</v>
      </c>
      <c r="B441" s="14" t="s">
        <v>1307</v>
      </c>
      <c r="C441" s="15" t="s">
        <v>1308</v>
      </c>
      <c r="D441" s="21" t="s">
        <v>1504</v>
      </c>
      <c r="E441" s="16">
        <v>15</v>
      </c>
      <c r="F441" s="16">
        <v>14</v>
      </c>
      <c r="G441" s="16">
        <v>104</v>
      </c>
      <c r="H441" s="16">
        <v>160</v>
      </c>
      <c r="I441" s="16">
        <v>264</v>
      </c>
      <c r="J441" s="17">
        <v>8.4800000000000001E-6</v>
      </c>
      <c r="K441" s="6">
        <f t="shared" si="6"/>
        <v>0</v>
      </c>
    </row>
    <row r="442" spans="1:11" ht="404" customHeight="1" x14ac:dyDescent="0.15">
      <c r="A442" s="13">
        <v>1883</v>
      </c>
      <c r="B442" s="14" t="s">
        <v>1309</v>
      </c>
      <c r="C442" s="15" t="s">
        <v>1310</v>
      </c>
      <c r="D442" s="15" t="s">
        <v>1311</v>
      </c>
      <c r="E442" s="16">
        <v>25</v>
      </c>
      <c r="F442" s="16">
        <v>25</v>
      </c>
      <c r="G442" s="16">
        <v>115</v>
      </c>
      <c r="H442" s="16">
        <v>191</v>
      </c>
      <c r="I442" s="16">
        <v>306</v>
      </c>
      <c r="J442" s="18">
        <v>2.103E-5</v>
      </c>
      <c r="K442" s="6">
        <f t="shared" si="6"/>
        <v>1</v>
      </c>
    </row>
    <row r="443" spans="1:11" ht="248" customHeight="1" x14ac:dyDescent="0.15">
      <c r="A443" s="13">
        <v>3491</v>
      </c>
      <c r="B443" s="14" t="s">
        <v>1312</v>
      </c>
      <c r="C443" s="15" t="s">
        <v>1313</v>
      </c>
      <c r="D443" s="15" t="s">
        <v>1314</v>
      </c>
      <c r="E443" s="16">
        <v>36</v>
      </c>
      <c r="F443" s="16">
        <v>36</v>
      </c>
      <c r="G443" s="16">
        <v>112</v>
      </c>
      <c r="H443" s="16">
        <v>113</v>
      </c>
      <c r="I443" s="16">
        <v>225</v>
      </c>
      <c r="J443" s="17">
        <v>6.7599999999999997E-6</v>
      </c>
      <c r="K443" s="6">
        <f t="shared" si="6"/>
        <v>1</v>
      </c>
    </row>
    <row r="444" spans="1:11" ht="248" customHeight="1" x14ac:dyDescent="0.15">
      <c r="A444" s="13">
        <v>2815</v>
      </c>
      <c r="B444" s="14" t="s">
        <v>1315</v>
      </c>
      <c r="C444" s="15" t="s">
        <v>1316</v>
      </c>
      <c r="D444" s="15" t="s">
        <v>1317</v>
      </c>
      <c r="E444" s="16">
        <v>30</v>
      </c>
      <c r="F444" s="16">
        <v>30</v>
      </c>
      <c r="G444" s="16">
        <v>77</v>
      </c>
      <c r="H444" s="16">
        <v>135</v>
      </c>
      <c r="I444" s="16">
        <v>212</v>
      </c>
      <c r="J444" s="17">
        <v>8.2900000000000002E-6</v>
      </c>
      <c r="K444" s="6">
        <f t="shared" si="6"/>
        <v>1</v>
      </c>
    </row>
    <row r="445" spans="1:11" ht="296" customHeight="1" x14ac:dyDescent="0.15">
      <c r="A445" s="13">
        <v>7196</v>
      </c>
      <c r="B445" s="14" t="s">
        <v>1318</v>
      </c>
      <c r="C445" s="15" t="s">
        <v>1319</v>
      </c>
      <c r="D445" s="15" t="s">
        <v>1320</v>
      </c>
      <c r="E445" s="16">
        <v>3</v>
      </c>
      <c r="F445" s="16">
        <v>3</v>
      </c>
      <c r="G445" s="16">
        <v>115</v>
      </c>
      <c r="H445" s="16">
        <v>162</v>
      </c>
      <c r="I445" s="16">
        <v>277</v>
      </c>
      <c r="J445" s="17">
        <v>1.04E-5</v>
      </c>
      <c r="K445" s="6">
        <f t="shared" si="6"/>
        <v>1</v>
      </c>
    </row>
    <row r="446" spans="1:11" ht="409.5" customHeight="1" x14ac:dyDescent="0.15">
      <c r="A446" s="13">
        <v>50</v>
      </c>
      <c r="B446" s="14" t="s">
        <v>1321</v>
      </c>
      <c r="C446" s="15" t="s">
        <v>1322</v>
      </c>
      <c r="D446" s="15" t="s">
        <v>1323</v>
      </c>
      <c r="E446" s="16">
        <v>5</v>
      </c>
      <c r="F446" s="16">
        <v>5</v>
      </c>
      <c r="G446" s="16">
        <v>134</v>
      </c>
      <c r="H446" s="16">
        <v>229</v>
      </c>
      <c r="I446" s="16">
        <v>363</v>
      </c>
      <c r="J446" s="18">
        <v>2.5020000000000001E-5</v>
      </c>
      <c r="K446" s="6">
        <f t="shared" si="6"/>
        <v>1</v>
      </c>
    </row>
    <row r="447" spans="1:11" ht="284" customHeight="1" x14ac:dyDescent="0.15">
      <c r="A447" s="13">
        <v>6418</v>
      </c>
      <c r="B447" s="14" t="s">
        <v>1324</v>
      </c>
      <c r="C447" s="15" t="s">
        <v>1325</v>
      </c>
      <c r="D447" s="15" t="s">
        <v>1326</v>
      </c>
      <c r="E447" s="16">
        <v>6</v>
      </c>
      <c r="F447" s="16">
        <v>6</v>
      </c>
      <c r="G447" s="16">
        <v>90</v>
      </c>
      <c r="H447" s="16">
        <v>122</v>
      </c>
      <c r="I447" s="16">
        <v>212</v>
      </c>
      <c r="J447" s="19">
        <v>7.9000000000000006E-6</v>
      </c>
      <c r="K447" s="6">
        <f t="shared" si="6"/>
        <v>1</v>
      </c>
    </row>
    <row r="448" spans="1:11" ht="409.5" customHeight="1" x14ac:dyDescent="0.15">
      <c r="A448" s="13">
        <v>4034</v>
      </c>
      <c r="B448" s="14" t="s">
        <v>1327</v>
      </c>
      <c r="C448" s="15" t="s">
        <v>1328</v>
      </c>
      <c r="D448" s="15" t="s">
        <v>1329</v>
      </c>
      <c r="E448" s="16">
        <v>24</v>
      </c>
      <c r="F448" s="16">
        <v>24</v>
      </c>
      <c r="G448" s="16">
        <v>111</v>
      </c>
      <c r="H448" s="16">
        <v>335</v>
      </c>
      <c r="I448" s="16">
        <v>446</v>
      </c>
      <c r="J448" s="18">
        <v>1.562E-5</v>
      </c>
      <c r="K448" s="6">
        <f t="shared" si="6"/>
        <v>1</v>
      </c>
    </row>
    <row r="449" spans="1:11" ht="356" customHeight="1" x14ac:dyDescent="0.15">
      <c r="A449" s="13">
        <v>245</v>
      </c>
      <c r="B449" s="14" t="s">
        <v>1330</v>
      </c>
      <c r="C449" s="15" t="s">
        <v>1331</v>
      </c>
      <c r="D449" s="15" t="s">
        <v>1332</v>
      </c>
      <c r="E449" s="16">
        <v>2280</v>
      </c>
      <c r="F449" s="16">
        <v>2280</v>
      </c>
      <c r="G449" s="16">
        <v>84</v>
      </c>
      <c r="H449" s="16">
        <v>138</v>
      </c>
      <c r="I449" s="16">
        <v>222</v>
      </c>
      <c r="J449" s="19">
        <v>7.1999999999999997E-6</v>
      </c>
      <c r="K449" s="6">
        <f t="shared" si="6"/>
        <v>1</v>
      </c>
    </row>
    <row r="450" spans="1:11" ht="284" customHeight="1" x14ac:dyDescent="0.15">
      <c r="A450" s="13">
        <v>5345</v>
      </c>
      <c r="B450" s="14" t="s">
        <v>1333</v>
      </c>
      <c r="C450" s="15" t="s">
        <v>1334</v>
      </c>
      <c r="D450" s="15" t="s">
        <v>1335</v>
      </c>
      <c r="E450" s="16">
        <v>10</v>
      </c>
      <c r="F450" s="16">
        <v>10</v>
      </c>
      <c r="G450" s="16">
        <v>101</v>
      </c>
      <c r="H450" s="16">
        <v>140</v>
      </c>
      <c r="I450" s="16">
        <v>241</v>
      </c>
      <c r="J450" s="17">
        <v>7.6199999999999999E-6</v>
      </c>
      <c r="K450" s="6">
        <f t="shared" si="6"/>
        <v>1</v>
      </c>
    </row>
    <row r="451" spans="1:11" ht="320" customHeight="1" x14ac:dyDescent="0.15">
      <c r="A451" s="13">
        <v>3552</v>
      </c>
      <c r="B451" s="14" t="s">
        <v>1336</v>
      </c>
      <c r="C451" s="15" t="s">
        <v>1337</v>
      </c>
      <c r="D451" s="15" t="s">
        <v>1338</v>
      </c>
      <c r="E451" s="16">
        <v>8640</v>
      </c>
      <c r="F451" s="16">
        <v>8640</v>
      </c>
      <c r="G451" s="16">
        <v>93</v>
      </c>
      <c r="H451" s="16">
        <v>161</v>
      </c>
      <c r="I451" s="16">
        <v>254</v>
      </c>
      <c r="J451" s="19">
        <v>8.3000000000000002E-6</v>
      </c>
      <c r="K451" s="6">
        <f t="shared" si="6"/>
        <v>1</v>
      </c>
    </row>
    <row r="452" spans="1:11" ht="404" customHeight="1" x14ac:dyDescent="0.15">
      <c r="A452" s="13">
        <v>5389</v>
      </c>
      <c r="B452" s="14" t="s">
        <v>1339</v>
      </c>
      <c r="C452" s="15" t="s">
        <v>1340</v>
      </c>
      <c r="D452" s="15" t="s">
        <v>1341</v>
      </c>
      <c r="E452" s="16">
        <v>640</v>
      </c>
      <c r="F452" s="16">
        <v>640</v>
      </c>
      <c r="G452" s="16">
        <v>98</v>
      </c>
      <c r="H452" s="16">
        <v>219</v>
      </c>
      <c r="I452" s="16">
        <v>317</v>
      </c>
      <c r="J452" s="18">
        <v>1.291E-5</v>
      </c>
      <c r="K452" s="6">
        <f t="shared" si="6"/>
        <v>1</v>
      </c>
    </row>
    <row r="453" spans="1:11" ht="344" customHeight="1" x14ac:dyDescent="0.15">
      <c r="A453" s="13">
        <v>4216</v>
      </c>
      <c r="B453" s="14" t="s">
        <v>1342</v>
      </c>
      <c r="C453" s="15" t="s">
        <v>1343</v>
      </c>
      <c r="D453" s="15" t="s">
        <v>1344</v>
      </c>
      <c r="E453" s="16">
        <v>69</v>
      </c>
      <c r="F453" s="16">
        <v>69</v>
      </c>
      <c r="G453" s="16">
        <v>108</v>
      </c>
      <c r="H453" s="16">
        <v>181</v>
      </c>
      <c r="I453" s="16">
        <v>289</v>
      </c>
      <c r="J453" s="18">
        <v>1.1209999999999999E-5</v>
      </c>
      <c r="K453" s="6">
        <f t="shared" si="6"/>
        <v>1</v>
      </c>
    </row>
    <row r="454" spans="1:11" ht="409.5" customHeight="1" x14ac:dyDescent="0.15">
      <c r="A454" s="13">
        <v>3422</v>
      </c>
      <c r="B454" s="14" t="s">
        <v>1345</v>
      </c>
      <c r="C454" s="15" t="s">
        <v>1346</v>
      </c>
      <c r="D454" s="15" t="s">
        <v>1347</v>
      </c>
      <c r="E454" s="16">
        <v>400</v>
      </c>
      <c r="F454" s="16">
        <v>400</v>
      </c>
      <c r="G454" s="16">
        <v>107</v>
      </c>
      <c r="H454" s="16">
        <v>236</v>
      </c>
      <c r="I454" s="16">
        <v>343</v>
      </c>
      <c r="J454" s="18">
        <v>2.423E-5</v>
      </c>
      <c r="K454" s="6">
        <f t="shared" ref="K454:K502" si="7">IF(OR(ISBLANK(E454), ISBLANK(F454)), 0, IF(E454=F454, 1, 0))</f>
        <v>1</v>
      </c>
    </row>
    <row r="455" spans="1:11" ht="409.5" customHeight="1" x14ac:dyDescent="0.15">
      <c r="A455" s="13">
        <v>3692</v>
      </c>
      <c r="B455" s="14" t="s">
        <v>1348</v>
      </c>
      <c r="C455" s="15" t="s">
        <v>1349</v>
      </c>
      <c r="D455" s="15" t="s">
        <v>1350</v>
      </c>
      <c r="E455" s="16">
        <v>4</v>
      </c>
      <c r="F455" s="16">
        <v>2</v>
      </c>
      <c r="G455" s="16">
        <v>142</v>
      </c>
      <c r="H455" s="16">
        <v>276</v>
      </c>
      <c r="I455" s="16">
        <v>418</v>
      </c>
      <c r="J455" s="18">
        <v>1.664E-5</v>
      </c>
      <c r="K455" s="6">
        <f t="shared" si="7"/>
        <v>0</v>
      </c>
    </row>
    <row r="456" spans="1:11" ht="272" customHeight="1" x14ac:dyDescent="0.15">
      <c r="A456" s="13">
        <v>5277</v>
      </c>
      <c r="B456" s="14" t="s">
        <v>1351</v>
      </c>
      <c r="C456" s="15" t="s">
        <v>1352</v>
      </c>
      <c r="D456" s="15" t="s">
        <v>1353</v>
      </c>
      <c r="E456" s="23"/>
      <c r="F456" s="16">
        <v>7</v>
      </c>
      <c r="G456" s="16">
        <v>112</v>
      </c>
      <c r="H456" s="16">
        <v>120</v>
      </c>
      <c r="I456" s="16">
        <v>232</v>
      </c>
      <c r="J456" s="17">
        <v>7.0400000000000004E-6</v>
      </c>
      <c r="K456" s="6">
        <f t="shared" si="7"/>
        <v>0</v>
      </c>
    </row>
    <row r="457" spans="1:11" ht="272" customHeight="1" x14ac:dyDescent="0.15">
      <c r="A457" s="13">
        <v>4651</v>
      </c>
      <c r="B457" s="14" t="s">
        <v>1354</v>
      </c>
      <c r="C457" s="15" t="s">
        <v>1355</v>
      </c>
      <c r="D457" s="15" t="s">
        <v>1356</v>
      </c>
      <c r="E457" s="16">
        <v>49</v>
      </c>
      <c r="F457" s="16">
        <v>49</v>
      </c>
      <c r="G457" s="16">
        <v>113</v>
      </c>
      <c r="H457" s="16">
        <v>153</v>
      </c>
      <c r="I457" s="16">
        <v>266</v>
      </c>
      <c r="J457" s="17">
        <v>8.3799999999999994E-6</v>
      </c>
      <c r="K457" s="6">
        <f t="shared" si="7"/>
        <v>1</v>
      </c>
    </row>
    <row r="458" spans="1:11" ht="332" customHeight="1" x14ac:dyDescent="0.15">
      <c r="A458" s="13">
        <v>4927</v>
      </c>
      <c r="B458" s="14" t="s">
        <v>1357</v>
      </c>
      <c r="C458" s="15" t="s">
        <v>1358</v>
      </c>
      <c r="D458" s="15" t="s">
        <v>1359</v>
      </c>
      <c r="E458" s="16">
        <v>900</v>
      </c>
      <c r="F458" s="16">
        <v>800</v>
      </c>
      <c r="G458" s="16">
        <v>109</v>
      </c>
      <c r="H458" s="16">
        <v>164</v>
      </c>
      <c r="I458" s="16">
        <v>273</v>
      </c>
      <c r="J458" s="17">
        <v>8.7399999999999993E-6</v>
      </c>
      <c r="K458" s="6">
        <f t="shared" si="7"/>
        <v>0</v>
      </c>
    </row>
    <row r="459" spans="1:11" ht="224" customHeight="1" x14ac:dyDescent="0.15">
      <c r="A459" s="13">
        <v>496</v>
      </c>
      <c r="B459" s="14" t="s">
        <v>1360</v>
      </c>
      <c r="C459" s="15" t="s">
        <v>1361</v>
      </c>
      <c r="D459" s="15" t="s">
        <v>1362</v>
      </c>
      <c r="E459" s="16">
        <v>600</v>
      </c>
      <c r="F459" s="16">
        <v>600</v>
      </c>
      <c r="G459" s="16">
        <v>128</v>
      </c>
      <c r="H459" s="16">
        <v>105</v>
      </c>
      <c r="I459" s="16">
        <v>233</v>
      </c>
      <c r="J459" s="17">
        <v>6.7599999999999997E-6</v>
      </c>
      <c r="K459" s="6">
        <f t="shared" si="7"/>
        <v>1</v>
      </c>
    </row>
    <row r="460" spans="1:11" ht="224" customHeight="1" x14ac:dyDescent="0.15">
      <c r="A460" s="13">
        <v>4041</v>
      </c>
      <c r="B460" s="14" t="s">
        <v>1363</v>
      </c>
      <c r="C460" s="15" t="s">
        <v>1364</v>
      </c>
      <c r="D460" s="15" t="s">
        <v>1365</v>
      </c>
      <c r="E460" s="16">
        <v>2</v>
      </c>
      <c r="F460" s="16">
        <v>2</v>
      </c>
      <c r="G460" s="16">
        <v>85</v>
      </c>
      <c r="H460" s="16">
        <v>111</v>
      </c>
      <c r="I460" s="16">
        <v>196</v>
      </c>
      <c r="J460" s="17">
        <v>7.25E-6</v>
      </c>
      <c r="K460" s="6">
        <f t="shared" si="7"/>
        <v>1</v>
      </c>
    </row>
    <row r="461" spans="1:11" ht="332" customHeight="1" x14ac:dyDescent="0.15">
      <c r="A461" s="13">
        <v>2673</v>
      </c>
      <c r="B461" s="14" t="s">
        <v>1366</v>
      </c>
      <c r="C461" s="15" t="s">
        <v>1367</v>
      </c>
      <c r="D461" s="15" t="s">
        <v>1368</v>
      </c>
      <c r="E461" s="16">
        <v>120</v>
      </c>
      <c r="F461" s="16">
        <v>70</v>
      </c>
      <c r="G461" s="16">
        <v>86</v>
      </c>
      <c r="H461" s="16">
        <v>147</v>
      </c>
      <c r="I461" s="16">
        <v>233</v>
      </c>
      <c r="J461" s="19">
        <v>7.6000000000000001E-6</v>
      </c>
      <c r="K461" s="6">
        <f t="shared" si="7"/>
        <v>0</v>
      </c>
    </row>
    <row r="462" spans="1:11" ht="356" customHeight="1" x14ac:dyDescent="0.15">
      <c r="A462" s="13">
        <v>5825</v>
      </c>
      <c r="B462" s="14" t="s">
        <v>1369</v>
      </c>
      <c r="C462" s="15" t="s">
        <v>1370</v>
      </c>
      <c r="D462" s="15" t="s">
        <v>1371</v>
      </c>
      <c r="E462" s="16">
        <v>20</v>
      </c>
      <c r="F462" s="16">
        <v>20</v>
      </c>
      <c r="G462" s="16">
        <v>108</v>
      </c>
      <c r="H462" s="16">
        <v>152</v>
      </c>
      <c r="I462" s="16">
        <v>260</v>
      </c>
      <c r="J462" s="17">
        <v>8.2400000000000007E-6</v>
      </c>
      <c r="K462" s="6">
        <f t="shared" si="7"/>
        <v>1</v>
      </c>
    </row>
    <row r="463" spans="1:11" ht="380" customHeight="1" x14ac:dyDescent="0.15">
      <c r="A463" s="13">
        <v>6006</v>
      </c>
      <c r="B463" s="14" t="s">
        <v>1372</v>
      </c>
      <c r="C463" s="15" t="s">
        <v>1373</v>
      </c>
      <c r="D463" s="15" t="s">
        <v>1374</v>
      </c>
      <c r="E463" s="16">
        <v>90</v>
      </c>
      <c r="F463" s="16">
        <v>90</v>
      </c>
      <c r="G463" s="16">
        <v>119</v>
      </c>
      <c r="H463" s="16">
        <v>186</v>
      </c>
      <c r="I463" s="16">
        <v>305</v>
      </c>
      <c r="J463" s="17">
        <v>9.8199999999999992E-6</v>
      </c>
      <c r="K463" s="6">
        <f t="shared" si="7"/>
        <v>1</v>
      </c>
    </row>
    <row r="464" spans="1:11" ht="260" customHeight="1" x14ac:dyDescent="0.15">
      <c r="A464" s="13">
        <v>6050</v>
      </c>
      <c r="B464" s="14" t="s">
        <v>1375</v>
      </c>
      <c r="C464" s="15" t="s">
        <v>1376</v>
      </c>
      <c r="D464" s="15" t="s">
        <v>1377</v>
      </c>
      <c r="E464" s="16">
        <v>14</v>
      </c>
      <c r="F464" s="16">
        <v>14</v>
      </c>
      <c r="G464" s="16">
        <v>74</v>
      </c>
      <c r="H464" s="16">
        <v>114</v>
      </c>
      <c r="I464" s="16">
        <v>188</v>
      </c>
      <c r="J464" s="17">
        <v>7.1799999999999999E-6</v>
      </c>
      <c r="K464" s="6">
        <f t="shared" si="7"/>
        <v>1</v>
      </c>
    </row>
    <row r="465" spans="1:11" ht="409.5" customHeight="1" x14ac:dyDescent="0.15">
      <c r="A465" s="13">
        <v>321</v>
      </c>
      <c r="B465" s="14" t="s">
        <v>1378</v>
      </c>
      <c r="C465" s="15" t="s">
        <v>1379</v>
      </c>
      <c r="D465" s="15" t="s">
        <v>1380</v>
      </c>
      <c r="E465" s="16">
        <v>9333</v>
      </c>
      <c r="F465" s="16">
        <v>15400</v>
      </c>
      <c r="G465" s="16">
        <v>84</v>
      </c>
      <c r="H465" s="16">
        <v>593</v>
      </c>
      <c r="I465" s="16">
        <v>677</v>
      </c>
      <c r="J465" s="17">
        <v>2.5400000000000001E-5</v>
      </c>
      <c r="K465" s="6">
        <f t="shared" si="7"/>
        <v>0</v>
      </c>
    </row>
    <row r="466" spans="1:11" ht="409.5" customHeight="1" x14ac:dyDescent="0.15">
      <c r="A466" s="13">
        <v>4201</v>
      </c>
      <c r="B466" s="14" t="s">
        <v>1381</v>
      </c>
      <c r="C466" s="15" t="s">
        <v>1382</v>
      </c>
      <c r="D466" s="15" t="s">
        <v>1383</v>
      </c>
      <c r="E466" s="16">
        <v>30</v>
      </c>
      <c r="F466" s="16">
        <v>30</v>
      </c>
      <c r="G466" s="16">
        <v>152</v>
      </c>
      <c r="H466" s="16">
        <v>486</v>
      </c>
      <c r="I466" s="16">
        <v>638</v>
      </c>
      <c r="J466" s="18">
        <v>2.2480000000000002E-5</v>
      </c>
      <c r="K466" s="6">
        <f t="shared" si="7"/>
        <v>1</v>
      </c>
    </row>
    <row r="467" spans="1:11" ht="344" customHeight="1" x14ac:dyDescent="0.15">
      <c r="A467" s="13">
        <v>1370</v>
      </c>
      <c r="B467" s="14" t="s">
        <v>1384</v>
      </c>
      <c r="C467" s="15" t="s">
        <v>1385</v>
      </c>
      <c r="D467" s="15" t="s">
        <v>1386</v>
      </c>
      <c r="E467" s="16">
        <v>2</v>
      </c>
      <c r="F467" s="16">
        <v>2</v>
      </c>
      <c r="G467" s="16">
        <v>102</v>
      </c>
      <c r="H467" s="16">
        <v>158</v>
      </c>
      <c r="I467" s="16">
        <v>260</v>
      </c>
      <c r="J467" s="17">
        <v>9.9399999999999997E-6</v>
      </c>
      <c r="K467" s="6">
        <f t="shared" si="7"/>
        <v>1</v>
      </c>
    </row>
    <row r="468" spans="1:11" ht="224" customHeight="1" x14ac:dyDescent="0.15">
      <c r="A468" s="13">
        <v>5576</v>
      </c>
      <c r="B468" s="14" t="s">
        <v>1387</v>
      </c>
      <c r="C468" s="15" t="s">
        <v>1388</v>
      </c>
      <c r="D468" s="15" t="s">
        <v>1389</v>
      </c>
      <c r="E468" s="16">
        <v>111</v>
      </c>
      <c r="F468" s="16">
        <v>111</v>
      </c>
      <c r="G468" s="16">
        <v>90</v>
      </c>
      <c r="H468" s="16">
        <v>103</v>
      </c>
      <c r="I468" s="16">
        <v>193</v>
      </c>
      <c r="J468" s="17">
        <v>6.9500000000000004E-6</v>
      </c>
      <c r="K468" s="6">
        <f t="shared" si="7"/>
        <v>1</v>
      </c>
    </row>
    <row r="469" spans="1:11" ht="200" customHeight="1" x14ac:dyDescent="0.15">
      <c r="A469" s="13">
        <v>5221</v>
      </c>
      <c r="B469" s="14" t="s">
        <v>1390</v>
      </c>
      <c r="C469" s="15" t="s">
        <v>1391</v>
      </c>
      <c r="D469" s="15" t="s">
        <v>1392</v>
      </c>
      <c r="E469" s="16">
        <v>10</v>
      </c>
      <c r="F469" s="16">
        <v>10</v>
      </c>
      <c r="G469" s="16">
        <v>85</v>
      </c>
      <c r="H469" s="16">
        <v>104</v>
      </c>
      <c r="I469" s="16">
        <v>189</v>
      </c>
      <c r="J469" s="17">
        <v>5.8599999999999998E-6</v>
      </c>
      <c r="K469" s="6">
        <f t="shared" si="7"/>
        <v>1</v>
      </c>
    </row>
    <row r="470" spans="1:11" ht="260" customHeight="1" x14ac:dyDescent="0.15">
      <c r="A470" s="13">
        <v>7296</v>
      </c>
      <c r="B470" s="14" t="s">
        <v>1393</v>
      </c>
      <c r="C470" s="15" t="s">
        <v>1394</v>
      </c>
      <c r="D470" s="15" t="s">
        <v>1395</v>
      </c>
      <c r="E470" s="16">
        <v>5</v>
      </c>
      <c r="F470" s="16">
        <v>5</v>
      </c>
      <c r="G470" s="16">
        <v>81</v>
      </c>
      <c r="H470" s="16">
        <v>113</v>
      </c>
      <c r="I470" s="16">
        <v>194</v>
      </c>
      <c r="J470" s="17">
        <v>6.1399999999999997E-6</v>
      </c>
      <c r="K470" s="6">
        <f t="shared" si="7"/>
        <v>1</v>
      </c>
    </row>
    <row r="471" spans="1:11" ht="380" customHeight="1" x14ac:dyDescent="0.15">
      <c r="A471" s="13">
        <v>1544</v>
      </c>
      <c r="B471" s="14" t="s">
        <v>1396</v>
      </c>
      <c r="C471" s="15" t="s">
        <v>1397</v>
      </c>
      <c r="D471" s="15" t="s">
        <v>1398</v>
      </c>
      <c r="E471" s="16">
        <v>867</v>
      </c>
      <c r="F471" s="16">
        <v>867</v>
      </c>
      <c r="G471" s="16">
        <v>103</v>
      </c>
      <c r="H471" s="16">
        <v>165</v>
      </c>
      <c r="I471" s="16">
        <v>268</v>
      </c>
      <c r="J471" s="18">
        <v>1.031E-5</v>
      </c>
      <c r="K471" s="6">
        <f t="shared" si="7"/>
        <v>1</v>
      </c>
    </row>
    <row r="472" spans="1:11" ht="248" customHeight="1" x14ac:dyDescent="0.15">
      <c r="A472" s="13">
        <v>6086</v>
      </c>
      <c r="B472" s="14" t="s">
        <v>1399</v>
      </c>
      <c r="C472" s="15" t="s">
        <v>1400</v>
      </c>
      <c r="D472" s="15" t="s">
        <v>1401</v>
      </c>
      <c r="E472" s="16">
        <v>21</v>
      </c>
      <c r="F472" s="16">
        <v>21</v>
      </c>
      <c r="G472" s="16">
        <v>79</v>
      </c>
      <c r="H472" s="16">
        <v>141</v>
      </c>
      <c r="I472" s="16">
        <v>220</v>
      </c>
      <c r="J472" s="17">
        <v>8.6300000000000004E-6</v>
      </c>
      <c r="K472" s="6">
        <f t="shared" si="7"/>
        <v>1</v>
      </c>
    </row>
    <row r="473" spans="1:11" ht="356" customHeight="1" x14ac:dyDescent="0.15">
      <c r="A473" s="13">
        <v>3353</v>
      </c>
      <c r="B473" s="14" t="s">
        <v>1402</v>
      </c>
      <c r="C473" s="15" t="s">
        <v>1403</v>
      </c>
      <c r="D473" s="15" t="s">
        <v>1404</v>
      </c>
      <c r="E473" s="16">
        <v>357</v>
      </c>
      <c r="F473" s="16">
        <v>357</v>
      </c>
      <c r="G473" s="16">
        <v>91</v>
      </c>
      <c r="H473" s="16">
        <v>147</v>
      </c>
      <c r="I473" s="16">
        <v>238</v>
      </c>
      <c r="J473" s="18">
        <v>1.6310000000000001E-5</v>
      </c>
      <c r="K473" s="6">
        <f t="shared" si="7"/>
        <v>1</v>
      </c>
    </row>
    <row r="474" spans="1:11" ht="320" customHeight="1" x14ac:dyDescent="0.15">
      <c r="A474" s="13">
        <v>4307</v>
      </c>
      <c r="B474" s="14" t="s">
        <v>1405</v>
      </c>
      <c r="C474" s="15" t="s">
        <v>1406</v>
      </c>
      <c r="D474" s="15" t="s">
        <v>1407</v>
      </c>
      <c r="E474" s="23"/>
      <c r="F474" s="16">
        <v>360000</v>
      </c>
      <c r="G474" s="16">
        <v>111</v>
      </c>
      <c r="H474" s="16">
        <v>148</v>
      </c>
      <c r="I474" s="16">
        <v>259</v>
      </c>
      <c r="J474" s="17">
        <v>8.14E-6</v>
      </c>
      <c r="K474" s="6">
        <f t="shared" si="7"/>
        <v>0</v>
      </c>
    </row>
    <row r="475" spans="1:11" ht="368" customHeight="1" x14ac:dyDescent="0.15">
      <c r="A475" s="13">
        <v>7359</v>
      </c>
      <c r="B475" s="14" t="s">
        <v>1408</v>
      </c>
      <c r="C475" s="15" t="s">
        <v>1409</v>
      </c>
      <c r="D475" s="15" t="s">
        <v>1410</v>
      </c>
      <c r="E475" s="16">
        <v>20</v>
      </c>
      <c r="F475" s="16">
        <v>20</v>
      </c>
      <c r="G475" s="16">
        <v>123</v>
      </c>
      <c r="H475" s="16">
        <v>165</v>
      </c>
      <c r="I475" s="16">
        <v>288</v>
      </c>
      <c r="J475" s="18">
        <v>1.0710000000000001E-5</v>
      </c>
      <c r="K475" s="6">
        <f t="shared" si="7"/>
        <v>1</v>
      </c>
    </row>
    <row r="476" spans="1:11" ht="260" customHeight="1" x14ac:dyDescent="0.15">
      <c r="A476" s="13">
        <v>2476</v>
      </c>
      <c r="B476" s="14" t="s">
        <v>1411</v>
      </c>
      <c r="C476" s="15" t="s">
        <v>1412</v>
      </c>
      <c r="D476" s="15" t="s">
        <v>1413</v>
      </c>
      <c r="E476" s="16">
        <v>2000</v>
      </c>
      <c r="F476" s="16">
        <v>2000</v>
      </c>
      <c r="G476" s="16">
        <v>75</v>
      </c>
      <c r="H476" s="16">
        <v>121</v>
      </c>
      <c r="I476" s="16">
        <v>196</v>
      </c>
      <c r="J476" s="17">
        <v>7.5499999999999997E-6</v>
      </c>
      <c r="K476" s="6">
        <f t="shared" si="7"/>
        <v>1</v>
      </c>
    </row>
    <row r="477" spans="1:11" ht="409.5" customHeight="1" x14ac:dyDescent="0.15">
      <c r="A477" s="13">
        <v>3656</v>
      </c>
      <c r="B477" s="14" t="s">
        <v>1414</v>
      </c>
      <c r="C477" s="15" t="s">
        <v>1415</v>
      </c>
      <c r="D477" s="15" t="s">
        <v>1416</v>
      </c>
      <c r="E477" s="16">
        <v>10</v>
      </c>
      <c r="F477" s="16">
        <v>10</v>
      </c>
      <c r="G477" s="16">
        <v>90</v>
      </c>
      <c r="H477" s="16">
        <v>252</v>
      </c>
      <c r="I477" s="16">
        <v>342</v>
      </c>
      <c r="J477" s="18">
        <v>1.188E-5</v>
      </c>
      <c r="K477" s="6">
        <f t="shared" si="7"/>
        <v>1</v>
      </c>
    </row>
    <row r="478" spans="1:11" ht="296" customHeight="1" x14ac:dyDescent="0.15">
      <c r="A478" s="13">
        <v>3316</v>
      </c>
      <c r="B478" s="14" t="s">
        <v>1417</v>
      </c>
      <c r="C478" s="15" t="s">
        <v>1418</v>
      </c>
      <c r="D478" s="15" t="s">
        <v>1419</v>
      </c>
      <c r="E478" s="16">
        <v>85</v>
      </c>
      <c r="F478" s="16">
        <v>85</v>
      </c>
      <c r="G478" s="16">
        <v>109</v>
      </c>
      <c r="H478" s="16">
        <v>167</v>
      </c>
      <c r="I478" s="16">
        <v>276</v>
      </c>
      <c r="J478" s="18">
        <v>1.0530000000000001E-5</v>
      </c>
      <c r="K478" s="6">
        <f t="shared" si="7"/>
        <v>1</v>
      </c>
    </row>
    <row r="479" spans="1:11" ht="409.5" customHeight="1" x14ac:dyDescent="0.15">
      <c r="A479" s="13">
        <v>6584</v>
      </c>
      <c r="B479" s="14" t="s">
        <v>1420</v>
      </c>
      <c r="C479" s="15" t="s">
        <v>1421</v>
      </c>
      <c r="D479" s="15" t="s">
        <v>1422</v>
      </c>
      <c r="E479" s="16">
        <v>558</v>
      </c>
      <c r="F479" s="16">
        <v>558</v>
      </c>
      <c r="G479" s="16">
        <v>108</v>
      </c>
      <c r="H479" s="16">
        <v>228</v>
      </c>
      <c r="I479" s="16">
        <v>336</v>
      </c>
      <c r="J479" s="18">
        <v>1.3560000000000001E-5</v>
      </c>
      <c r="K479" s="6">
        <f t="shared" si="7"/>
        <v>1</v>
      </c>
    </row>
    <row r="480" spans="1:11" ht="260" customHeight="1" x14ac:dyDescent="0.15">
      <c r="A480" s="13">
        <v>3539</v>
      </c>
      <c r="B480" s="14" t="s">
        <v>1423</v>
      </c>
      <c r="C480" s="15" t="s">
        <v>1424</v>
      </c>
      <c r="D480" s="15" t="s">
        <v>1425</v>
      </c>
      <c r="E480" s="16">
        <v>35</v>
      </c>
      <c r="F480" s="16">
        <v>35</v>
      </c>
      <c r="G480" s="16">
        <v>103</v>
      </c>
      <c r="H480" s="16">
        <v>152</v>
      </c>
      <c r="I480" s="16">
        <v>255</v>
      </c>
      <c r="J480" s="17">
        <v>8.14E-6</v>
      </c>
      <c r="K480" s="6">
        <f t="shared" si="7"/>
        <v>1</v>
      </c>
    </row>
    <row r="481" spans="1:11" ht="409.5" customHeight="1" x14ac:dyDescent="0.15">
      <c r="A481" s="13">
        <v>554</v>
      </c>
      <c r="B481" s="14" t="s">
        <v>1426</v>
      </c>
      <c r="C481" s="15" t="s">
        <v>1427</v>
      </c>
      <c r="D481" s="15" t="s">
        <v>1428</v>
      </c>
      <c r="E481" s="16">
        <v>50</v>
      </c>
      <c r="F481" s="16">
        <v>50</v>
      </c>
      <c r="G481" s="16">
        <v>84</v>
      </c>
      <c r="H481" s="16">
        <v>221</v>
      </c>
      <c r="I481" s="16">
        <v>305</v>
      </c>
      <c r="J481" s="18">
        <v>1.0519999999999999E-5</v>
      </c>
      <c r="K481" s="6">
        <f t="shared" si="7"/>
        <v>1</v>
      </c>
    </row>
    <row r="482" spans="1:11" ht="320" customHeight="1" x14ac:dyDescent="0.15">
      <c r="A482" s="13">
        <v>3905</v>
      </c>
      <c r="B482" s="14" t="s">
        <v>1429</v>
      </c>
      <c r="C482" s="15" t="s">
        <v>1430</v>
      </c>
      <c r="D482" s="15" t="s">
        <v>1431</v>
      </c>
      <c r="E482" s="16">
        <v>300</v>
      </c>
      <c r="F482" s="16">
        <v>300</v>
      </c>
      <c r="G482" s="16">
        <v>66</v>
      </c>
      <c r="H482" s="16">
        <v>130</v>
      </c>
      <c r="I482" s="16">
        <v>196</v>
      </c>
      <c r="J482" s="17">
        <v>6.5200000000000003E-6</v>
      </c>
      <c r="K482" s="6">
        <f t="shared" si="7"/>
        <v>1</v>
      </c>
    </row>
    <row r="483" spans="1:11" ht="188" customHeight="1" x14ac:dyDescent="0.15">
      <c r="A483" s="13">
        <v>4647</v>
      </c>
      <c r="B483" s="14" t="s">
        <v>1432</v>
      </c>
      <c r="C483" s="15" t="s">
        <v>1433</v>
      </c>
      <c r="D483" s="15" t="s">
        <v>1434</v>
      </c>
      <c r="E483" s="16">
        <v>4500</v>
      </c>
      <c r="F483" s="16">
        <v>4500</v>
      </c>
      <c r="G483" s="16">
        <v>118</v>
      </c>
      <c r="H483" s="16">
        <v>100</v>
      </c>
      <c r="I483" s="16">
        <v>218</v>
      </c>
      <c r="J483" s="17">
        <v>7.3599999999999998E-6</v>
      </c>
      <c r="K483" s="6">
        <f t="shared" si="7"/>
        <v>1</v>
      </c>
    </row>
    <row r="484" spans="1:11" ht="296" customHeight="1" x14ac:dyDescent="0.15">
      <c r="A484" s="13">
        <v>233</v>
      </c>
      <c r="B484" s="14" t="s">
        <v>1435</v>
      </c>
      <c r="C484" s="15" t="s">
        <v>1436</v>
      </c>
      <c r="D484" s="15" t="s">
        <v>1437</v>
      </c>
      <c r="E484" s="16">
        <v>55</v>
      </c>
      <c r="F484" s="16">
        <v>40</v>
      </c>
      <c r="G484" s="16">
        <v>99</v>
      </c>
      <c r="H484" s="16">
        <v>144</v>
      </c>
      <c r="I484" s="16">
        <v>243</v>
      </c>
      <c r="J484" s="17">
        <v>9.1800000000000002E-6</v>
      </c>
      <c r="K484" s="6">
        <f t="shared" si="7"/>
        <v>0</v>
      </c>
    </row>
    <row r="485" spans="1:11" ht="308" customHeight="1" x14ac:dyDescent="0.15">
      <c r="A485" s="13">
        <v>65</v>
      </c>
      <c r="B485" s="14" t="s">
        <v>1438</v>
      </c>
      <c r="C485" s="15" t="s">
        <v>1439</v>
      </c>
      <c r="D485" s="21" t="s">
        <v>1508</v>
      </c>
      <c r="E485" s="16">
        <v>558</v>
      </c>
      <c r="F485" s="16">
        <v>558</v>
      </c>
      <c r="G485" s="16">
        <v>87</v>
      </c>
      <c r="H485" s="16">
        <v>151</v>
      </c>
      <c r="I485" s="16">
        <v>238</v>
      </c>
      <c r="J485" s="17">
        <v>9.2900000000000008E-6</v>
      </c>
      <c r="K485" s="6">
        <f t="shared" si="7"/>
        <v>1</v>
      </c>
    </row>
    <row r="486" spans="1:11" ht="356" customHeight="1" x14ac:dyDescent="0.15">
      <c r="A486" s="13">
        <v>6724</v>
      </c>
      <c r="B486" s="14" t="s">
        <v>1440</v>
      </c>
      <c r="C486" s="15" t="s">
        <v>1441</v>
      </c>
      <c r="D486" s="15" t="s">
        <v>1442</v>
      </c>
      <c r="E486" s="16">
        <v>70</v>
      </c>
      <c r="F486" s="16">
        <v>146</v>
      </c>
      <c r="G486" s="16">
        <v>86</v>
      </c>
      <c r="H486" s="16">
        <v>140</v>
      </c>
      <c r="I486" s="16">
        <v>226</v>
      </c>
      <c r="J486" s="17">
        <v>7.3200000000000002E-6</v>
      </c>
      <c r="K486" s="6">
        <f t="shared" si="7"/>
        <v>0</v>
      </c>
    </row>
    <row r="487" spans="1:11" ht="332" customHeight="1" x14ac:dyDescent="0.15">
      <c r="A487" s="13">
        <v>2458</v>
      </c>
      <c r="B487" s="14" t="s">
        <v>1443</v>
      </c>
      <c r="C487" s="15" t="s">
        <v>1444</v>
      </c>
      <c r="D487" s="15" t="s">
        <v>1445</v>
      </c>
      <c r="E487" s="16">
        <v>2888</v>
      </c>
      <c r="F487" s="16">
        <v>2888</v>
      </c>
      <c r="G487" s="16">
        <v>113</v>
      </c>
      <c r="H487" s="16">
        <v>162</v>
      </c>
      <c r="I487" s="16">
        <v>275</v>
      </c>
      <c r="J487" s="17">
        <v>8.7399999999999993E-6</v>
      </c>
      <c r="K487" s="6">
        <f t="shared" si="7"/>
        <v>1</v>
      </c>
    </row>
    <row r="488" spans="1:11" ht="308" customHeight="1" x14ac:dyDescent="0.15">
      <c r="A488" s="13">
        <v>4615</v>
      </c>
      <c r="B488" s="14" t="s">
        <v>1446</v>
      </c>
      <c r="C488" s="15" t="s">
        <v>1447</v>
      </c>
      <c r="D488" s="15" t="s">
        <v>1448</v>
      </c>
      <c r="E488" s="16">
        <v>18</v>
      </c>
      <c r="F488" s="16">
        <v>18</v>
      </c>
      <c r="G488" s="16">
        <v>78</v>
      </c>
      <c r="H488" s="16">
        <v>142</v>
      </c>
      <c r="I488" s="16">
        <v>220</v>
      </c>
      <c r="J488" s="17">
        <v>7.2400000000000001E-6</v>
      </c>
      <c r="K488" s="6">
        <f t="shared" si="7"/>
        <v>1</v>
      </c>
    </row>
    <row r="489" spans="1:11" ht="308" customHeight="1" x14ac:dyDescent="0.15">
      <c r="A489" s="13">
        <v>6151</v>
      </c>
      <c r="B489" s="14" t="s">
        <v>1449</v>
      </c>
      <c r="C489" s="15" t="s">
        <v>1450</v>
      </c>
      <c r="D489" s="15" t="s">
        <v>1451</v>
      </c>
      <c r="E489" s="16">
        <v>6</v>
      </c>
      <c r="F489" s="16">
        <v>6</v>
      </c>
      <c r="G489" s="16">
        <v>74</v>
      </c>
      <c r="H489" s="16">
        <v>148</v>
      </c>
      <c r="I489" s="16">
        <v>222</v>
      </c>
      <c r="J489" s="19">
        <v>7.4000000000000003E-6</v>
      </c>
      <c r="K489" s="6">
        <f t="shared" si="7"/>
        <v>1</v>
      </c>
    </row>
    <row r="490" spans="1:11" ht="284" customHeight="1" x14ac:dyDescent="0.15">
      <c r="A490" s="13">
        <v>3554</v>
      </c>
      <c r="B490" s="14" t="s">
        <v>1452</v>
      </c>
      <c r="C490" s="15" t="s">
        <v>1453</v>
      </c>
      <c r="D490" s="15" t="s">
        <v>1454</v>
      </c>
      <c r="E490" s="16">
        <v>15</v>
      </c>
      <c r="F490" s="16">
        <v>15</v>
      </c>
      <c r="G490" s="16">
        <v>77</v>
      </c>
      <c r="H490" s="16">
        <v>114</v>
      </c>
      <c r="I490" s="16">
        <v>191</v>
      </c>
      <c r="J490" s="17">
        <v>7.2400000000000001E-6</v>
      </c>
      <c r="K490" s="6">
        <f t="shared" si="7"/>
        <v>1</v>
      </c>
    </row>
    <row r="491" spans="1:11" ht="219" customHeight="1" x14ac:dyDescent="0.15">
      <c r="A491" s="13">
        <v>7345</v>
      </c>
      <c r="B491" s="14" t="s">
        <v>1455</v>
      </c>
      <c r="C491" s="15" t="s">
        <v>1456</v>
      </c>
      <c r="D491" s="15" t="s">
        <v>1457</v>
      </c>
      <c r="E491" s="16">
        <v>24</v>
      </c>
      <c r="F491" s="16">
        <v>24</v>
      </c>
      <c r="G491" s="16">
        <v>80</v>
      </c>
      <c r="H491" s="16">
        <v>106</v>
      </c>
      <c r="I491" s="16">
        <v>186</v>
      </c>
      <c r="J491" s="19">
        <v>6.9E-6</v>
      </c>
      <c r="K491" s="6">
        <f t="shared" si="7"/>
        <v>1</v>
      </c>
    </row>
    <row r="492" spans="1:11" ht="409.5" customHeight="1" x14ac:dyDescent="0.15">
      <c r="A492" s="13">
        <v>4407</v>
      </c>
      <c r="B492" s="14" t="s">
        <v>1458</v>
      </c>
      <c r="C492" s="21" t="s">
        <v>1459</v>
      </c>
      <c r="D492" s="21" t="s">
        <v>1460</v>
      </c>
      <c r="E492" s="23"/>
      <c r="F492" s="23">
        <v>6600</v>
      </c>
      <c r="G492" s="16">
        <v>113</v>
      </c>
      <c r="H492" s="16">
        <v>16384</v>
      </c>
      <c r="I492" s="16">
        <v>16497</v>
      </c>
      <c r="J492" s="16">
        <v>6.5762000000000004E-4</v>
      </c>
      <c r="K492" s="6">
        <f t="shared" si="7"/>
        <v>0</v>
      </c>
    </row>
    <row r="493" spans="1:11" ht="284" customHeight="1" x14ac:dyDescent="0.15">
      <c r="A493" s="13">
        <v>1790</v>
      </c>
      <c r="B493" s="14" t="s">
        <v>1461</v>
      </c>
      <c r="C493" s="15" t="s">
        <v>1462</v>
      </c>
      <c r="D493" s="15" t="s">
        <v>1463</v>
      </c>
      <c r="E493" s="16">
        <v>21000</v>
      </c>
      <c r="F493" s="16">
        <v>21000</v>
      </c>
      <c r="G493" s="16">
        <v>107</v>
      </c>
      <c r="H493" s="16">
        <v>158</v>
      </c>
      <c r="I493" s="16">
        <v>265</v>
      </c>
      <c r="J493" s="18">
        <v>1.004E-5</v>
      </c>
      <c r="K493" s="6">
        <f t="shared" si="7"/>
        <v>1</v>
      </c>
    </row>
    <row r="494" spans="1:11" ht="248" customHeight="1" x14ac:dyDescent="0.15">
      <c r="A494" s="13">
        <v>381</v>
      </c>
      <c r="B494" s="14" t="s">
        <v>1464</v>
      </c>
      <c r="C494" s="15" t="s">
        <v>1465</v>
      </c>
      <c r="D494" s="15" t="s">
        <v>1466</v>
      </c>
      <c r="E494" s="16">
        <v>75</v>
      </c>
      <c r="F494" s="16">
        <v>75</v>
      </c>
      <c r="G494" s="16">
        <v>97</v>
      </c>
      <c r="H494" s="16">
        <v>92</v>
      </c>
      <c r="I494" s="16">
        <v>189</v>
      </c>
      <c r="J494" s="17">
        <v>5.6200000000000004E-6</v>
      </c>
      <c r="K494" s="6">
        <f t="shared" si="7"/>
        <v>1</v>
      </c>
    </row>
    <row r="495" spans="1:11" ht="409.5" customHeight="1" x14ac:dyDescent="0.15">
      <c r="A495" s="13">
        <v>7136</v>
      </c>
      <c r="B495" s="14" t="s">
        <v>1467</v>
      </c>
      <c r="C495" s="15" t="s">
        <v>1468</v>
      </c>
      <c r="D495" s="15" t="s">
        <v>1469</v>
      </c>
      <c r="E495" s="16">
        <v>168</v>
      </c>
      <c r="F495" s="16">
        <v>168</v>
      </c>
      <c r="G495" s="16">
        <v>85</v>
      </c>
      <c r="H495" s="16">
        <v>241</v>
      </c>
      <c r="I495" s="16">
        <v>326</v>
      </c>
      <c r="J495" s="18">
        <v>1.134E-5</v>
      </c>
      <c r="K495" s="6">
        <f t="shared" si="7"/>
        <v>1</v>
      </c>
    </row>
    <row r="496" spans="1:11" ht="296" customHeight="1" x14ac:dyDescent="0.15">
      <c r="A496" s="13">
        <v>4427</v>
      </c>
      <c r="B496" s="14" t="s">
        <v>1470</v>
      </c>
      <c r="C496" s="15" t="s">
        <v>1471</v>
      </c>
      <c r="D496" s="15" t="s">
        <v>1472</v>
      </c>
      <c r="E496" s="16">
        <v>58</v>
      </c>
      <c r="F496" s="16">
        <v>58</v>
      </c>
      <c r="G496" s="16">
        <v>89</v>
      </c>
      <c r="H496" s="16">
        <v>135</v>
      </c>
      <c r="I496" s="16">
        <v>224</v>
      </c>
      <c r="J496" s="17">
        <v>7.1799999999999999E-6</v>
      </c>
      <c r="K496" s="6">
        <f t="shared" si="7"/>
        <v>1</v>
      </c>
    </row>
    <row r="497" spans="1:11" ht="260" customHeight="1" x14ac:dyDescent="0.15">
      <c r="A497" s="13">
        <v>4928</v>
      </c>
      <c r="B497" s="14" t="s">
        <v>1473</v>
      </c>
      <c r="C497" s="15" t="s">
        <v>1474</v>
      </c>
      <c r="D497" s="15" t="s">
        <v>1475</v>
      </c>
      <c r="E497" s="16">
        <v>480</v>
      </c>
      <c r="F497" s="16">
        <v>480</v>
      </c>
      <c r="G497" s="16">
        <v>82</v>
      </c>
      <c r="H497" s="16">
        <v>175</v>
      </c>
      <c r="I497" s="16">
        <v>257</v>
      </c>
      <c r="J497" s="17">
        <v>8.6400000000000003E-6</v>
      </c>
      <c r="K497" s="6">
        <f t="shared" si="7"/>
        <v>1</v>
      </c>
    </row>
    <row r="498" spans="1:11" ht="409.5" customHeight="1" x14ac:dyDescent="0.15">
      <c r="A498" s="13">
        <v>4554</v>
      </c>
      <c r="B498" s="14" t="s">
        <v>1476</v>
      </c>
      <c r="C498" s="15" t="s">
        <v>1477</v>
      </c>
      <c r="D498" s="15" t="s">
        <v>1478</v>
      </c>
      <c r="E498" s="16">
        <v>51</v>
      </c>
      <c r="F498" s="16">
        <v>51</v>
      </c>
      <c r="G498" s="16">
        <v>139</v>
      </c>
      <c r="H498" s="16">
        <v>286</v>
      </c>
      <c r="I498" s="16">
        <v>425</v>
      </c>
      <c r="J498" s="18">
        <v>1.7079999999999999E-5</v>
      </c>
      <c r="K498" s="6">
        <f t="shared" si="7"/>
        <v>1</v>
      </c>
    </row>
    <row r="499" spans="1:11" ht="332" customHeight="1" x14ac:dyDescent="0.15">
      <c r="A499" s="13">
        <v>7284</v>
      </c>
      <c r="B499" s="14" t="s">
        <v>1479</v>
      </c>
      <c r="C499" s="15" t="s">
        <v>1480</v>
      </c>
      <c r="D499" s="15" t="s">
        <v>1481</v>
      </c>
      <c r="E499" s="16">
        <v>16</v>
      </c>
      <c r="F499" s="16">
        <v>16</v>
      </c>
      <c r="G499" s="16">
        <v>136</v>
      </c>
      <c r="H499" s="16">
        <v>142</v>
      </c>
      <c r="I499" s="16">
        <v>278</v>
      </c>
      <c r="J499" s="18">
        <v>1.8159999999999999E-5</v>
      </c>
      <c r="K499" s="6">
        <f t="shared" si="7"/>
        <v>1</v>
      </c>
    </row>
    <row r="500" spans="1:11" ht="240.5" customHeight="1" x14ac:dyDescent="0.15">
      <c r="A500" s="13">
        <v>217</v>
      </c>
      <c r="B500" s="14" t="s">
        <v>1482</v>
      </c>
      <c r="C500" s="15" t="s">
        <v>1483</v>
      </c>
      <c r="D500" s="15" t="s">
        <v>1484</v>
      </c>
      <c r="E500" s="23"/>
      <c r="F500" s="16">
        <v>96</v>
      </c>
      <c r="G500" s="16">
        <v>84</v>
      </c>
      <c r="H500" s="16">
        <v>16384</v>
      </c>
      <c r="I500" s="16">
        <v>16468</v>
      </c>
      <c r="J500" s="16">
        <v>6.5704000000000001E-4</v>
      </c>
      <c r="K500" s="6">
        <f t="shared" si="7"/>
        <v>0</v>
      </c>
    </row>
    <row r="501" spans="1:11" ht="236" customHeight="1" x14ac:dyDescent="0.15">
      <c r="A501" s="13">
        <v>5271</v>
      </c>
      <c r="B501" s="14" t="s">
        <v>1485</v>
      </c>
      <c r="C501" s="15" t="s">
        <v>1486</v>
      </c>
      <c r="D501" s="15" t="s">
        <v>1487</v>
      </c>
      <c r="E501" s="16">
        <v>180</v>
      </c>
      <c r="F501" s="16">
        <v>180</v>
      </c>
      <c r="G501" s="16">
        <v>94</v>
      </c>
      <c r="H501" s="16">
        <v>103</v>
      </c>
      <c r="I501" s="16">
        <v>197</v>
      </c>
      <c r="J501" s="17">
        <v>7.0299999999999996E-6</v>
      </c>
      <c r="K501" s="6">
        <f t="shared" si="7"/>
        <v>1</v>
      </c>
    </row>
    <row r="502" spans="1:11" ht="409.5" customHeight="1" x14ac:dyDescent="0.15">
      <c r="A502" s="13">
        <v>5039</v>
      </c>
      <c r="B502" s="14" t="s">
        <v>1488</v>
      </c>
      <c r="C502" s="15" t="s">
        <v>1489</v>
      </c>
      <c r="D502" s="15" t="s">
        <v>1490</v>
      </c>
      <c r="E502" s="16">
        <v>3</v>
      </c>
      <c r="F502" s="16">
        <v>3</v>
      </c>
      <c r="G502" s="16">
        <v>84</v>
      </c>
      <c r="H502" s="16">
        <v>145</v>
      </c>
      <c r="I502" s="16">
        <v>229</v>
      </c>
      <c r="J502" s="17">
        <v>8.9299999999999992E-6</v>
      </c>
      <c r="K502" s="6">
        <f t="shared" si="7"/>
        <v>1</v>
      </c>
    </row>
    <row r="505" spans="1:11" ht="20" customHeight="1" x14ac:dyDescent="0.15">
      <c r="J505" s="2" t="s">
        <v>1492</v>
      </c>
      <c r="K505" s="2">
        <f>SUM(K3:K502)</f>
        <v>427</v>
      </c>
    </row>
    <row r="506" spans="1:11" ht="20" customHeight="1" x14ac:dyDescent="0.15">
      <c r="J506" s="2" t="s">
        <v>1491</v>
      </c>
      <c r="K506" s="2">
        <f>(K505/500)*100</f>
        <v>85.399999999999991</v>
      </c>
    </row>
  </sheetData>
  <mergeCells count="1">
    <mergeCell ref="A1:J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2026-09-08T04:58:37Z</dcterms:modified>
</cp:coreProperties>
</file>